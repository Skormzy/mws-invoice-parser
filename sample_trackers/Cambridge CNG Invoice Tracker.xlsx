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woo\Downloads\"/>
    </mc:Choice>
  </mc:AlternateContent>
  <xr:revisionPtr revIDLastSave="0" documentId="8_{6576CBF0-448B-4713-B65A-13210AAF56D6}" xr6:coauthVersionLast="47" xr6:coauthVersionMax="47" xr10:uidLastSave="{00000000-0000-0000-0000-000000000000}"/>
  <bookViews>
    <workbookView xWindow="51480" yWindow="5115" windowWidth="29040" windowHeight="15720" xr2:uid="{2CE43172-6767-4DBD-A42E-E5600A7CFADF}"/>
  </bookViews>
  <sheets>
    <sheet name="Cambridge CNG Invoice Tracking" sheetId="2" r:id="rId1"/>
  </sheets>
  <calcPr calcId="191029" iterate="1" iterateCount="100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P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Woo</author>
  </authors>
  <commentList>
    <comment ref="G8" authorId="0" shapeId="0" xr:uid="{DDDBAFD2-8F56-4BC3-98DA-AA7AD14F9576}">
      <text>
        <r>
          <rPr>
            <sz val="11"/>
            <color theme="1"/>
            <rFont val="Aptos Narrow"/>
            <family val="2"/>
            <scheme val="minor"/>
          </rPr>
          <t xml:space="preserve">Melissa Woo:
SPlit volumes between 2 different enbridge ratehandbook qtr periods
</t>
        </r>
      </text>
    </comment>
    <comment ref="J9" authorId="0" shapeId="0" xr:uid="{8E831559-9414-446C-9D32-5FBC126EA517}">
      <text>
        <r>
          <rPr>
            <sz val="11"/>
            <color theme="1"/>
            <rFont val="Aptos Narrow"/>
            <family val="2"/>
            <scheme val="minor"/>
          </rPr>
          <t>Melissa Woo:
This is a fixed monthly charge for having the interruptible service</t>
        </r>
      </text>
    </comment>
    <comment ref="N9" authorId="0" shapeId="0" xr:uid="{E917135F-3994-4C95-B26F-68928E9C2876}">
      <text>
        <r>
          <rPr>
            <sz val="11"/>
            <color theme="1"/>
            <rFont val="Aptos Narrow"/>
            <family val="2"/>
            <scheme val="minor"/>
          </rPr>
          <t>Melissa Woo:
From September 1–21, 70% of the month wasn’t billed (21 out of 30 days). That’s 70% of the 8,000 m3 CD (Contract demand), or 5,600 m3. Enbridge deducted/adjusted this unused CD amount from the bill.</t>
        </r>
      </text>
    </comment>
  </commentList>
</comments>
</file>

<file path=xl/sharedStrings.xml><?xml version="1.0" encoding="utf-8"?>
<sst xmlns="http://schemas.openxmlformats.org/spreadsheetml/2006/main" count="28" uniqueCount="25">
  <si>
    <t>Cambridge Enbridge CNG Invoice Tracking</t>
  </si>
  <si>
    <r>
      <rPr>
        <b/>
        <sz val="11"/>
        <color rgb="FF000000"/>
        <rFont val="Aptos Narrow"/>
        <family val="2"/>
      </rPr>
      <t>Address:</t>
    </r>
    <r>
      <rPr>
        <sz val="11"/>
        <color rgb="FF000000"/>
        <rFont val="Aptos Narrow"/>
        <family val="2"/>
      </rPr>
      <t xml:space="preserve"> 2138 EAGLEST N, CAMBRIDGE ON N3H0A1</t>
    </r>
  </si>
  <si>
    <r>
      <t>Account Number:</t>
    </r>
    <r>
      <rPr>
        <sz val="11"/>
        <color rgb="FF000000"/>
        <rFont val="Aptos Narrow"/>
        <family val="2"/>
      </rPr>
      <t xml:space="preserve"> 1183991</t>
    </r>
  </si>
  <si>
    <r>
      <t>Bill Number:</t>
    </r>
    <r>
      <rPr>
        <sz val="11"/>
        <color rgb="FF000000"/>
        <rFont val="Aptos Narrow"/>
        <family val="2"/>
        <scheme val="minor"/>
      </rPr>
      <t xml:space="preserve"> BA4297</t>
    </r>
  </si>
  <si>
    <t>&lt;&lt; in Sage</t>
  </si>
  <si>
    <r>
      <t xml:space="preserve">Rate: 
</t>
    </r>
    <r>
      <rPr>
        <sz val="11"/>
        <color rgb="FF000000"/>
        <rFont val="Aptos Narrow"/>
        <family val="2"/>
        <scheme val="minor"/>
      </rPr>
      <t xml:space="preserve"> - Rate M4 Firm Industrial and Commercial (Contracted Demand= 30,500.0 m3)
 - Rate M5 Interruptible </t>
    </r>
    <r>
      <rPr>
        <b/>
        <sz val="11"/>
        <color rgb="FF000000"/>
        <rFont val="Aptos Narrow"/>
        <family val="2"/>
        <scheme val="minor"/>
      </rPr>
      <t xml:space="preserve">
</t>
    </r>
  </si>
  <si>
    <t>Enbridge Qtr Handbook Rate Reference</t>
  </si>
  <si>
    <t>Start Date</t>
  </si>
  <si>
    <t>End Date</t>
  </si>
  <si>
    <t xml:space="preserve">Billing Period </t>
  </si>
  <si>
    <t>CD</t>
  </si>
  <si>
    <t>Gas Consumption</t>
  </si>
  <si>
    <t>Split Volumes</t>
  </si>
  <si>
    <t>Demand Charge (First 8,450 m3 of CD</t>
  </si>
  <si>
    <t>Delivery Charge - First 422,250 m3</t>
  </si>
  <si>
    <t>Monthly Charge - Interruptible</t>
  </si>
  <si>
    <t>Gas Supply - Commodity</t>
  </si>
  <si>
    <t>Gas Supply - Transportation</t>
  </si>
  <si>
    <t>Commodity &amp; Fuel - Price Adjustment</t>
  </si>
  <si>
    <t>Enbridge Invoice Cost (Excluding HST)</t>
  </si>
  <si>
    <t>$/m3</t>
  </si>
  <si>
    <t>Q3 2025</t>
  </si>
  <si>
    <t>Q4 2025</t>
  </si>
  <si>
    <t>Q1 2026</t>
  </si>
  <si>
    <t>Miscellaneous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</si>
</sst>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3" fontId="0" fillId="0" borderId="0" xfId="0" applyNumberFormat="1"/>
    <xf numFmtId="0" fontId="6" fillId="0" borderId="1" xfId="0" applyFont="1" applyBorder="1"/>
    <xf numFmtId="0" fontId="3" fillId="0" borderId="0" xfId="0" applyFont="1" applyAlignment="1">
      <alignment horizontal="left"/>
    </xf>
    <xf numFmtId="164" fontId="0" fillId="0" borderId="0" xfId="1" applyNumberFormat="1" applyFont="1"/>
    <xf numFmtId="0" fontId="8" fillId="0" borderId="1" xfId="0" applyFont="1" applyBorder="1"/>
    <xf numFmtId="1" fontId="0" fillId="0" borderId="0" xfId="0" applyNumberFormat="1" applyAlignment="1">
      <alignment horizontal="left"/>
    </xf>
    <xf numFmtId="0" fontId="8" fillId="0" borderId="1" xfId="0" applyFont="1" applyBorder="1" applyAlignment="1">
      <alignment vertical="top" wrapText="1"/>
    </xf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4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2" xfId="0" applyNumberFormat="1" applyBorder="1"/>
    <xf numFmtId="17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5" fontId="0" fillId="5" borderId="2" xfId="0" applyNumberFormat="1" applyFill="1" applyBorder="1"/>
    <xf numFmtId="165" fontId="0" fillId="2" borderId="2" xfId="0" applyNumberFormat="1" applyFill="1" applyBorder="1"/>
    <xf numFmtId="0" fontId="0" fillId="0" borderId="2" xfId="0" applyBorder="1"/>
    <xf numFmtId="4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32EB-0759-4666-A54F-AE44B653F174}">
  <dimension ref="A1:P28"/>
  <sheetViews>
    <sheetView tabSelected="1" workbookViewId="0">
      <selection activeCell="G5" sqref="G5"/>
    </sheetView>
  </sheetViews>
  <sheetFormatPr defaultRowHeight="15" x14ac:dyDescent="0.25"/>
  <cols>
    <col min="1" max="1" width="45.7109375" customWidth="1"/>
    <col min="2" max="2" width="11.140625" customWidth="1"/>
    <col min="3" max="3" width="10.140625" bestFit="1" customWidth="1"/>
    <col min="4" max="4" width="13.42578125" bestFit="1" customWidth="1"/>
    <col min="5" max="5" width="14.42578125" customWidth="1"/>
    <col min="6" max="6" width="17.140625" bestFit="1" customWidth="1"/>
    <col min="7" max="7" width="13.5703125" bestFit="1" customWidth="1"/>
    <col min="8" max="8" width="35" bestFit="1" customWidth="1"/>
    <col min="9" max="9" width="31.85546875" bestFit="1" customWidth="1"/>
    <col min="10" max="10" width="28.28515625" bestFit="1" customWidth="1"/>
    <col min="11" max="11" width="21.85546875" bestFit="1" customWidth="1"/>
    <col min="12" max="12" width="26.140625" bestFit="1" customWidth="1"/>
    <col min="13" max="13" width="35.42578125" customWidth="1"/>
    <col min="14" max="14" width="50.28515625" bestFit="1" customWidth="1"/>
    <col min="15" max="15" width="35.42578125" bestFit="1" customWidth="1"/>
    <col min="16" max="16" width="15.42578125" customWidth="1"/>
  </cols>
  <sheetData>
    <row r="1" spans="1:16" ht="18.75" x14ac:dyDescent="0.3">
      <c r="A1" s="1" t="s">
        <v>0</v>
      </c>
    </row>
    <row r="2" spans="1:16" ht="30" x14ac:dyDescent="0.25">
      <c r="A2" s="2" t="s">
        <v>1</v>
      </c>
      <c r="D2" s="3"/>
    </row>
    <row r="3" spans="1:16" x14ac:dyDescent="0.25">
      <c r="A3" s="4" t="s">
        <v>2</v>
      </c>
      <c r="B3" s="5"/>
      <c r="D3" s="6"/>
    </row>
    <row r="4" spans="1:16" x14ac:dyDescent="0.25">
      <c r="A4" s="7" t="s">
        <v>3</v>
      </c>
      <c r="B4" s="8" t="s">
        <v>4</v>
      </c>
    </row>
    <row r="5" spans="1:16" ht="67.5" customHeight="1" x14ac:dyDescent="0.25">
      <c r="A5" s="9" t="s">
        <v>5</v>
      </c>
      <c r="B5" s="10"/>
      <c r="D5" s="11"/>
    </row>
    <row r="6" spans="1:16" x14ac:dyDescent="0.25">
      <c r="A6" s="12"/>
      <c r="B6" s="10"/>
    </row>
    <row r="7" spans="1:16" x14ac:dyDescent="0.25">
      <c r="A7" s="12"/>
      <c r="B7" s="10"/>
    </row>
    <row r="8" spans="1:16" x14ac:dyDescent="0.25">
      <c r="A8" s="13" t="s">
        <v>6</v>
      </c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4" t="s">
        <v>13</v>
      </c>
      <c r="I8" s="14" t="s">
        <v>14</v>
      </c>
      <c r="J8" s="14" t="s">
        <v>15</v>
      </c>
      <c r="K8" s="15" t="s">
        <v>16</v>
      </c>
      <c r="L8" s="14" t="s">
        <v>17</v>
      </c>
      <c r="M8" s="14" t="s">
        <v>18</v>
      </c>
      <c r="N8" s="14" t="s">
        <v>24</v>
      </c>
      <c r="O8" s="16" t="s">
        <v>19</v>
      </c>
      <c r="P8" s="16" t="s">
        <v>20</v>
      </c>
    </row>
    <row r="9" spans="1:16" x14ac:dyDescent="0.25">
      <c r="A9" s="17" t="s">
        <v>21</v>
      </c>
      <c r="B9" s="18">
        <v>45901</v>
      </c>
      <c r="C9" s="18">
        <v>45932</v>
      </c>
      <c r="D9" s="19">
        <v>45901</v>
      </c>
      <c r="E9" s="20">
        <v>8000</v>
      </c>
      <c r="F9" s="20">
        <v>0</v>
      </c>
      <c r="G9" s="20">
        <v>0</v>
      </c>
      <c r="H9" s="21">
        <v>6103.58</v>
      </c>
      <c r="I9" s="21">
        <v>0</v>
      </c>
      <c r="J9" s="21">
        <v>805.63</v>
      </c>
      <c r="K9" s="21">
        <v>0</v>
      </c>
      <c r="L9" s="21">
        <v>0</v>
      </c>
      <c r="M9" s="21"/>
      <c r="N9" s="21">
        <v>-4272.5</v>
      </c>
      <c r="O9" s="22">
        <f>SUM(H9:N9)</f>
        <v>2636.71</v>
      </c>
      <c r="P9" s="22">
        <f>IFERROR(O9/F9,0)</f>
        <v>0</v>
      </c>
    </row>
    <row r="10" spans="1:16" x14ac:dyDescent="0.25">
      <c r="A10" s="17" t="s">
        <v>22</v>
      </c>
      <c r="B10" s="18">
        <v>45933</v>
      </c>
      <c r="C10" s="18">
        <v>45964</v>
      </c>
      <c r="D10" s="19">
        <v>45931</v>
      </c>
      <c r="E10" s="20">
        <v>8000</v>
      </c>
      <c r="F10" s="24">
        <v>5071.1000000000004</v>
      </c>
      <c r="G10" s="23"/>
      <c r="H10" s="21">
        <v>6103.58</v>
      </c>
      <c r="I10" s="21">
        <v>108.26</v>
      </c>
      <c r="J10" s="21">
        <v>805.63</v>
      </c>
      <c r="K10" s="21">
        <v>870.22</v>
      </c>
      <c r="L10" s="21">
        <v>0</v>
      </c>
      <c r="M10" s="21">
        <v>-17.63</v>
      </c>
      <c r="N10" s="21"/>
      <c r="O10" s="22">
        <f t="shared" ref="O10:O28" si="0">SUM(H10:N10)</f>
        <v>7870.06</v>
      </c>
      <c r="P10" s="22">
        <f t="shared" ref="P10:P28" si="1">IFERROR(O10/F10,0)</f>
        <v>1.5519433653447969</v>
      </c>
    </row>
    <row r="11" spans="1:16" x14ac:dyDescent="0.25">
      <c r="A11" s="17" t="s">
        <v>22</v>
      </c>
      <c r="B11" s="18">
        <v>45965</v>
      </c>
      <c r="C11" s="18">
        <v>45992</v>
      </c>
      <c r="D11" s="19">
        <v>45962</v>
      </c>
      <c r="E11" s="20">
        <v>8000</v>
      </c>
      <c r="F11" s="23">
        <v>0</v>
      </c>
      <c r="G11" s="23"/>
      <c r="H11" s="21">
        <v>6103.58</v>
      </c>
      <c r="I11" s="21">
        <v>0</v>
      </c>
      <c r="J11" s="21">
        <v>805.63</v>
      </c>
      <c r="K11" s="21">
        <v>0</v>
      </c>
      <c r="L11" s="21">
        <v>0</v>
      </c>
      <c r="M11" s="21">
        <v>0</v>
      </c>
      <c r="N11" s="21"/>
      <c r="O11" s="22">
        <f t="shared" si="0"/>
        <v>6909.21</v>
      </c>
      <c r="P11" s="22">
        <f t="shared" si="1"/>
        <v>0</v>
      </c>
    </row>
    <row r="12" spans="1:16" x14ac:dyDescent="0.25">
      <c r="A12" s="17" t="s">
        <v>22</v>
      </c>
      <c r="B12" s="18">
        <v>45993</v>
      </c>
      <c r="C12" s="18">
        <v>46024</v>
      </c>
      <c r="D12" s="19">
        <v>45992</v>
      </c>
      <c r="E12" s="20">
        <v>8000</v>
      </c>
      <c r="F12" s="24">
        <v>6198.2</v>
      </c>
      <c r="G12" s="23"/>
      <c r="H12" s="21">
        <v>6103.58</v>
      </c>
      <c r="I12" s="21">
        <v>132.32</v>
      </c>
      <c r="J12" s="21">
        <v>805.63</v>
      </c>
      <c r="K12" s="21">
        <v>1063.6300000000001</v>
      </c>
      <c r="L12" s="21">
        <v>0</v>
      </c>
      <c r="M12" s="21">
        <v>-21.55</v>
      </c>
      <c r="N12" s="21"/>
      <c r="O12" s="22">
        <f t="shared" si="0"/>
        <v>8083.61</v>
      </c>
      <c r="P12" s="22">
        <f t="shared" si="1"/>
        <v>1.3041866993643316</v>
      </c>
    </row>
    <row r="13" spans="1:16" x14ac:dyDescent="0.25">
      <c r="A13" s="17" t="s">
        <v>23</v>
      </c>
      <c r="B13" s="18">
        <v>46025</v>
      </c>
      <c r="C13" s="18">
        <v>46055</v>
      </c>
      <c r="D13" s="19">
        <v>46023</v>
      </c>
      <c r="E13" s="20">
        <v>8000</v>
      </c>
      <c r="F13" s="24">
        <v>7268.8</v>
      </c>
      <c r="G13" s="23"/>
      <c r="H13" s="21">
        <v>6396.42</v>
      </c>
      <c r="I13" s="21">
        <v>169.37</v>
      </c>
      <c r="J13" s="21">
        <v>837.79</v>
      </c>
      <c r="K13" s="21">
        <v>1483.1</v>
      </c>
      <c r="L13" s="21">
        <v>0</v>
      </c>
      <c r="M13" s="21">
        <v>-85.07</v>
      </c>
      <c r="N13" s="21"/>
      <c r="O13" s="22">
        <f t="shared" si="0"/>
        <v>8801.61</v>
      </c>
      <c r="P13" s="22">
        <f t="shared" si="1"/>
        <v>1.2108752476337223</v>
      </c>
    </row>
    <row r="14" spans="1:16" x14ac:dyDescent="0.25">
      <c r="A14" s="17" t="s">
        <v>23</v>
      </c>
      <c r="B14" s="18">
        <v>46056</v>
      </c>
      <c r="C14" s="18">
        <v>46083</v>
      </c>
      <c r="D14" s="19">
        <v>46054</v>
      </c>
      <c r="E14" s="20">
        <v>8000</v>
      </c>
      <c r="F14" s="24">
        <v>16819.7</v>
      </c>
      <c r="G14" s="23"/>
      <c r="H14" s="21">
        <v>6396.42</v>
      </c>
      <c r="I14" s="21">
        <v>391.93</v>
      </c>
      <c r="J14" s="21">
        <v>837.79</v>
      </c>
      <c r="K14" s="21">
        <v>3431.84</v>
      </c>
      <c r="L14" s="21">
        <v>0</v>
      </c>
      <c r="M14" s="21">
        <v>-196.84</v>
      </c>
      <c r="N14" s="21"/>
      <c r="O14" s="22">
        <f t="shared" si="0"/>
        <v>10861.14</v>
      </c>
      <c r="P14" s="22">
        <f t="shared" si="1"/>
        <v>0.64573922245937798</v>
      </c>
    </row>
    <row r="15" spans="1:16" x14ac:dyDescent="0.25">
      <c r="A15" s="17"/>
      <c r="B15" s="18"/>
      <c r="C15" s="18"/>
      <c r="D15" s="19">
        <v>46082</v>
      </c>
      <c r="E15" s="20"/>
      <c r="F15" s="23"/>
      <c r="G15" s="23"/>
      <c r="H15" s="21"/>
      <c r="I15" s="21"/>
      <c r="J15" s="21"/>
      <c r="K15" s="21"/>
      <c r="L15" s="21"/>
      <c r="M15" s="21"/>
      <c r="N15" s="21"/>
      <c r="O15" s="22">
        <f t="shared" si="0"/>
        <v>0</v>
      </c>
      <c r="P15" s="22">
        <f t="shared" si="1"/>
        <v>0</v>
      </c>
    </row>
    <row r="16" spans="1:16" x14ac:dyDescent="0.25">
      <c r="A16" s="17"/>
      <c r="B16" s="18"/>
      <c r="C16" s="18"/>
      <c r="D16" s="19">
        <v>46113</v>
      </c>
      <c r="E16" s="20"/>
      <c r="F16" s="23"/>
      <c r="G16" s="23"/>
      <c r="H16" s="21"/>
      <c r="I16" s="21"/>
      <c r="J16" s="21"/>
      <c r="K16" s="21"/>
      <c r="L16" s="21"/>
      <c r="M16" s="21"/>
      <c r="N16" s="21"/>
      <c r="O16" s="22">
        <f t="shared" si="0"/>
        <v>0</v>
      </c>
      <c r="P16" s="22">
        <f t="shared" si="1"/>
        <v>0</v>
      </c>
    </row>
    <row r="17" spans="1:16" x14ac:dyDescent="0.25">
      <c r="A17" s="17"/>
      <c r="B17" s="18"/>
      <c r="C17" s="18"/>
      <c r="D17" s="19">
        <v>46143</v>
      </c>
      <c r="E17" s="20"/>
      <c r="F17" s="23"/>
      <c r="G17" s="23"/>
      <c r="H17" s="21"/>
      <c r="I17" s="21"/>
      <c r="J17" s="21"/>
      <c r="K17" s="21"/>
      <c r="L17" s="21"/>
      <c r="M17" s="21"/>
      <c r="N17" s="21"/>
      <c r="O17" s="22">
        <f t="shared" si="0"/>
        <v>0</v>
      </c>
      <c r="P17" s="22">
        <f t="shared" si="1"/>
        <v>0</v>
      </c>
    </row>
    <row r="18" spans="1:16" x14ac:dyDescent="0.25">
      <c r="A18" s="17"/>
      <c r="B18" s="18"/>
      <c r="C18" s="18"/>
      <c r="D18" s="19">
        <v>46174</v>
      </c>
      <c r="E18" s="20"/>
      <c r="F18" s="23"/>
      <c r="G18" s="23"/>
      <c r="H18" s="21"/>
      <c r="I18" s="21"/>
      <c r="J18" s="21"/>
      <c r="K18" s="21"/>
      <c r="L18" s="21"/>
      <c r="M18" s="21"/>
      <c r="N18" s="21"/>
      <c r="O18" s="22">
        <f t="shared" si="0"/>
        <v>0</v>
      </c>
      <c r="P18" s="22">
        <f t="shared" si="1"/>
        <v>0</v>
      </c>
    </row>
    <row r="19" spans="1:16" x14ac:dyDescent="0.25">
      <c r="A19" s="17"/>
      <c r="B19" s="18"/>
      <c r="C19" s="18"/>
      <c r="D19" s="19">
        <v>46204</v>
      </c>
      <c r="E19" s="20"/>
      <c r="F19" s="23"/>
      <c r="G19" s="23"/>
      <c r="H19" s="21"/>
      <c r="I19" s="21"/>
      <c r="J19" s="21"/>
      <c r="K19" s="21"/>
      <c r="L19" s="21"/>
      <c r="M19" s="21"/>
      <c r="N19" s="21"/>
      <c r="O19" s="22">
        <f t="shared" si="0"/>
        <v>0</v>
      </c>
      <c r="P19" s="22">
        <f t="shared" si="1"/>
        <v>0</v>
      </c>
    </row>
    <row r="20" spans="1:16" x14ac:dyDescent="0.25">
      <c r="A20" s="17"/>
      <c r="B20" s="18"/>
      <c r="C20" s="18"/>
      <c r="D20" s="19">
        <v>46235</v>
      </c>
      <c r="E20" s="20"/>
      <c r="F20" s="23"/>
      <c r="G20" s="23"/>
      <c r="H20" s="21"/>
      <c r="I20" s="21"/>
      <c r="J20" s="21"/>
      <c r="K20" s="21"/>
      <c r="L20" s="21"/>
      <c r="M20" s="21"/>
      <c r="N20" s="21"/>
      <c r="O20" s="22">
        <f t="shared" si="0"/>
        <v>0</v>
      </c>
      <c r="P20" s="22">
        <f t="shared" si="1"/>
        <v>0</v>
      </c>
    </row>
    <row r="21" spans="1:16" x14ac:dyDescent="0.25">
      <c r="A21" s="17"/>
      <c r="B21" s="18"/>
      <c r="C21" s="18"/>
      <c r="D21" s="19">
        <v>46266</v>
      </c>
      <c r="E21" s="20"/>
      <c r="F21" s="23"/>
      <c r="G21" s="23"/>
      <c r="H21" s="21"/>
      <c r="I21" s="21"/>
      <c r="J21" s="21"/>
      <c r="K21" s="21"/>
      <c r="L21" s="21"/>
      <c r="M21" s="21"/>
      <c r="N21" s="21"/>
      <c r="O21" s="22">
        <f t="shared" si="0"/>
        <v>0</v>
      </c>
      <c r="P21" s="22">
        <f t="shared" si="1"/>
        <v>0</v>
      </c>
    </row>
    <row r="22" spans="1:16" x14ac:dyDescent="0.25">
      <c r="A22" s="17"/>
      <c r="B22" s="18"/>
      <c r="C22" s="18"/>
      <c r="D22" s="19">
        <v>46296</v>
      </c>
      <c r="E22" s="20"/>
      <c r="F22" s="23"/>
      <c r="G22" s="23"/>
      <c r="H22" s="21"/>
      <c r="I22" s="21"/>
      <c r="J22" s="21"/>
      <c r="K22" s="21"/>
      <c r="L22" s="21"/>
      <c r="M22" s="21"/>
      <c r="N22" s="21"/>
      <c r="O22" s="22">
        <f t="shared" si="0"/>
        <v>0</v>
      </c>
      <c r="P22" s="22">
        <f t="shared" si="1"/>
        <v>0</v>
      </c>
    </row>
    <row r="23" spans="1:16" x14ac:dyDescent="0.25">
      <c r="A23" s="17"/>
      <c r="B23" s="18"/>
      <c r="C23" s="18"/>
      <c r="D23" s="19">
        <v>46327</v>
      </c>
      <c r="E23" s="20"/>
      <c r="F23" s="23"/>
      <c r="G23" s="23"/>
      <c r="H23" s="21"/>
      <c r="I23" s="21"/>
      <c r="J23" s="21"/>
      <c r="K23" s="21"/>
      <c r="L23" s="21"/>
      <c r="M23" s="21"/>
      <c r="N23" s="21"/>
      <c r="O23" s="22">
        <f t="shared" si="0"/>
        <v>0</v>
      </c>
      <c r="P23" s="22">
        <f t="shared" si="1"/>
        <v>0</v>
      </c>
    </row>
    <row r="24" spans="1:16" x14ac:dyDescent="0.25">
      <c r="A24" s="17"/>
      <c r="B24" s="18"/>
      <c r="C24" s="18"/>
      <c r="D24" s="19">
        <v>46357</v>
      </c>
      <c r="E24" s="20"/>
      <c r="F24" s="23"/>
      <c r="G24" s="23"/>
      <c r="H24" s="21"/>
      <c r="I24" s="21"/>
      <c r="J24" s="21"/>
      <c r="K24" s="21"/>
      <c r="L24" s="21"/>
      <c r="M24" s="21"/>
      <c r="N24" s="21"/>
      <c r="O24" s="22">
        <f t="shared" si="0"/>
        <v>0</v>
      </c>
      <c r="P24" s="22">
        <f t="shared" si="1"/>
        <v>0</v>
      </c>
    </row>
    <row r="25" spans="1:16" x14ac:dyDescent="0.25">
      <c r="A25" s="17"/>
      <c r="B25" s="18"/>
      <c r="C25" s="18"/>
      <c r="D25" s="19">
        <v>46388</v>
      </c>
      <c r="E25" s="20"/>
      <c r="F25" s="23"/>
      <c r="G25" s="23"/>
      <c r="H25" s="21"/>
      <c r="I25" s="21"/>
      <c r="J25" s="21"/>
      <c r="K25" s="21"/>
      <c r="L25" s="21"/>
      <c r="M25" s="21"/>
      <c r="N25" s="21"/>
      <c r="O25" s="22">
        <f t="shared" si="0"/>
        <v>0</v>
      </c>
      <c r="P25" s="22">
        <f t="shared" si="1"/>
        <v>0</v>
      </c>
    </row>
    <row r="26" spans="1:16" x14ac:dyDescent="0.25">
      <c r="A26" s="17"/>
      <c r="B26" s="18"/>
      <c r="C26" s="18"/>
      <c r="D26" s="19">
        <v>46419</v>
      </c>
      <c r="E26" s="20"/>
      <c r="F26" s="23"/>
      <c r="G26" s="23"/>
      <c r="H26" s="21"/>
      <c r="I26" s="21"/>
      <c r="J26" s="21"/>
      <c r="K26" s="21"/>
      <c r="L26" s="21"/>
      <c r="M26" s="21"/>
      <c r="N26" s="21"/>
      <c r="O26" s="22">
        <f t="shared" si="0"/>
        <v>0</v>
      </c>
      <c r="P26" s="22">
        <f t="shared" si="1"/>
        <v>0</v>
      </c>
    </row>
    <row r="27" spans="1:16" x14ac:dyDescent="0.25">
      <c r="A27" s="17"/>
      <c r="B27" s="18"/>
      <c r="C27" s="18"/>
      <c r="D27" s="19">
        <v>46447</v>
      </c>
      <c r="E27" s="20"/>
      <c r="F27" s="23"/>
      <c r="G27" s="23"/>
      <c r="H27" s="21"/>
      <c r="I27" s="21"/>
      <c r="J27" s="21"/>
      <c r="K27" s="21"/>
      <c r="L27" s="21"/>
      <c r="M27" s="21"/>
      <c r="N27" s="21"/>
      <c r="O27" s="22">
        <f t="shared" si="0"/>
        <v>0</v>
      </c>
      <c r="P27" s="22">
        <f t="shared" si="1"/>
        <v>0</v>
      </c>
    </row>
    <row r="28" spans="1:16" x14ac:dyDescent="0.25">
      <c r="A28" s="17"/>
      <c r="B28" s="18"/>
      <c r="C28" s="18"/>
      <c r="D28" s="19">
        <v>46478</v>
      </c>
      <c r="E28" s="20"/>
      <c r="F28" s="23"/>
      <c r="G28" s="23"/>
      <c r="H28" s="21"/>
      <c r="I28" s="21"/>
      <c r="J28" s="21"/>
      <c r="K28" s="21"/>
      <c r="L28" s="21"/>
      <c r="M28" s="21"/>
      <c r="N28" s="21"/>
      <c r="O28" s="22">
        <f t="shared" si="0"/>
        <v>0</v>
      </c>
      <c r="P28" s="22">
        <f t="shared" si="1"/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Cambridge CNG Invoice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Woo</dc:creator>
  <cp:lastModifiedBy>Melissa Woo</cp:lastModifiedBy>
  <dcterms:created xsi:type="dcterms:W3CDTF">2026-04-01T15:59:02Z</dcterms:created>
  <dcterms:modified xsi:type="dcterms:W3CDTF">2026-04-01T16:00:14Z</dcterms:modified>
</cp:coreProperties>
</file>