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lissa.woo\Downloads\"/>
    </mc:Choice>
  </mc:AlternateContent>
  <xr:revisionPtr revIDLastSave="0" documentId="13_ncr:1_{BBF6E905-64DC-46E6-9002-5E6E9D5A4AF7}" xr6:coauthVersionLast="47" xr6:coauthVersionMax="47" xr10:uidLastSave="{00000000-0000-0000-0000-000000000000}"/>
  <bookViews>
    <workbookView xWindow="51480" yWindow="5115" windowWidth="29040" windowHeight="15720" xr2:uid="{00000000-000D-0000-FFFF-FFFF00000000}"/>
  </bookViews>
  <sheets>
    <sheet name="Past Elexicon Bill" sheetId="2" r:id="rId1"/>
  </sheets>
  <calcPr calcId="191028" iterate="1" iterateCount="100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2" l="1"/>
  <c r="W16" i="2"/>
  <c r="X16" i="2"/>
  <c r="V17" i="2"/>
  <c r="W17" i="2"/>
  <c r="X17" i="2"/>
  <c r="V18" i="2"/>
  <c r="W18" i="2"/>
  <c r="X18" i="2"/>
  <c r="V19" i="2"/>
  <c r="W19" i="2"/>
  <c r="X19" i="2"/>
  <c r="V20" i="2"/>
  <c r="W20" i="2"/>
  <c r="X20" i="2"/>
  <c r="V21" i="2"/>
  <c r="W21" i="2"/>
  <c r="X21" i="2"/>
  <c r="V22" i="2"/>
  <c r="W22" i="2"/>
  <c r="X22" i="2"/>
  <c r="V23" i="2"/>
  <c r="W23" i="2"/>
  <c r="X23" i="2"/>
  <c r="V24" i="2"/>
  <c r="W24" i="2"/>
  <c r="X24" i="2"/>
  <c r="V25" i="2"/>
  <c r="W25" i="2"/>
  <c r="X25" i="2"/>
  <c r="V15" i="2"/>
  <c r="W15" i="2"/>
  <c r="X15" i="2"/>
  <c r="W14" i="2"/>
  <c r="X14" i="2" s="1"/>
  <c r="V14" i="2"/>
  <c r="W13" i="2"/>
  <c r="X13" i="2"/>
  <c r="V12" i="2"/>
  <c r="V13" i="2"/>
  <c r="W12" i="2"/>
  <c r="X12" i="2" s="1"/>
  <c r="W11" i="2"/>
  <c r="X11" i="2"/>
  <c r="V11" i="2"/>
  <c r="W10" i="2"/>
  <c r="X10" i="2" s="1"/>
  <c r="V10" i="2"/>
  <c r="W9" i="2"/>
  <c r="X9" i="2" s="1"/>
  <c r="V9" i="2"/>
  <c r="W8" i="2"/>
  <c r="V8" i="2"/>
  <c r="W4" i="2"/>
  <c r="W5" i="2"/>
  <c r="W6" i="2"/>
  <c r="W7" i="2"/>
  <c r="W3" i="2"/>
  <c r="V4" i="2"/>
  <c r="V5" i="2"/>
  <c r="V6" i="2"/>
  <c r="V7" i="2"/>
  <c r="V3" i="2"/>
  <c r="X6" i="2"/>
  <c r="X5" i="2"/>
  <c r="X4" i="2"/>
  <c r="X3" i="2"/>
  <c r="X7" i="2" l="1"/>
  <c r="X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tc={2EEB464F-B7F1-42C0-842A-ABF32FCC6DA7}</author>
    <author>tc={A7CBF902-FED2-477F-A461-26E0BF16F2EC}</author>
    <author>tc={5455A66A-BBC7-473E-A7C7-1D26DED2C031}</author>
    <author>tc={94008CBF-F7A9-40D1-951F-F79BB73013FA}</author>
    <author>tc={6E010DA1-DA37-421E-AD94-60C8F504FCC1}</author>
  </authors>
  <commentList>
    <comment ref="G2" authorId="0" shapeId="0" xr:uid="{2EEB464F-B7F1-42C0-842A-ABF32FCC6DA7}">
      <text>
        <t>[Threaded comment]
Your version of Excel allows you to read this threaded comment; however, any edits to it will get removed if the file is opened in a newer version of Excel. Learn more: https://go.microsoft.com/fwlink/?linkid=870924
Comment:
     Billing Demand is the higher of peak kW or 90% of the peak kVA demand.
Monthly billing demand is used to assess distribution and retail transmission connection charges.</t>
      </text>
    </comment>
    <comment ref="O2" authorId="1" shapeId="0" xr:uid="{A7CBF902-FED2-477F-A461-26E0BF16F2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$0.046579/kWh </t>
      </text>
    </comment>
    <comment ref="R2" authorId="2" shapeId="0" xr:uid="{5455A66A-BBC7-473E-A7C7-1D26DED2C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$2.953613/kW </t>
      </text>
    </comment>
    <comment ref="S2" authorId="3" shapeId="0" xr:uid="{94008CBF-F7A9-40D1-951F-F79BB73013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$2.051620/kW </t>
      </text>
    </comment>
    <comment ref="T2" authorId="4" shapeId="0" xr:uid="{6E010DA1-DA37-421E-AD94-60C8F504FC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$0.0059/kWh </t>
      </text>
    </comment>
  </commentList>
</comments>
</file>

<file path=xl/sharedStrings.xml><?xml version="1.0" encoding="utf-8"?>
<sst xmlns="http://schemas.openxmlformats.org/spreadsheetml/2006/main" count="126" uniqueCount="80">
  <si>
    <t>Distribution Charges</t>
  </si>
  <si>
    <t>Other Charges</t>
  </si>
  <si>
    <t>Bill Period</t>
  </si>
  <si>
    <t>Read Period</t>
  </si>
  <si>
    <t>Account Number</t>
  </si>
  <si>
    <t>Service Type</t>
  </si>
  <si>
    <t>Days</t>
  </si>
  <si>
    <t>kWh used</t>
  </si>
  <si>
    <t>Monthly Demand (kW)</t>
  </si>
  <si>
    <t>Electricity ($/kWh)</t>
  </si>
  <si>
    <t>Global Adjuster ($)</t>
  </si>
  <si>
    <t>New Account Setup</t>
  </si>
  <si>
    <t>Delivery Charge</t>
  </si>
  <si>
    <t>Customer Charge</t>
  </si>
  <si>
    <t>Interest Overdue Charge</t>
  </si>
  <si>
    <t>SSS admin charge</t>
  </si>
  <si>
    <t xml:space="preserve">Electriciy </t>
  </si>
  <si>
    <t>Global Adjustment</t>
  </si>
  <si>
    <t>Global Adjustment Recovery</t>
  </si>
  <si>
    <t>Transmission Network Charge</t>
  </si>
  <si>
    <t>Transmission Connection</t>
  </si>
  <si>
    <t>Wholesale Market Services</t>
  </si>
  <si>
    <t>H.S.T</t>
  </si>
  <si>
    <t>Total Charge</t>
  </si>
  <si>
    <t>Total Charge (Excluding HST &amp; Overdue Interest Charges)</t>
  </si>
  <si>
    <t>$/kWh</t>
  </si>
  <si>
    <t>July</t>
  </si>
  <si>
    <t>July 12 - July 31</t>
  </si>
  <si>
    <t>97066317-00</t>
  </si>
  <si>
    <t>GS &gt; 50 kW</t>
  </si>
  <si>
    <t>1,896.51kWh@$0.045879 $</t>
  </si>
  <si>
    <t>August</t>
  </si>
  <si>
    <t>July 31-Aug 31</t>
  </si>
  <si>
    <t>4,427.44kWh@$0.05552</t>
  </si>
  <si>
    <t>September</t>
  </si>
  <si>
    <t>Aug 31-Sept 30</t>
  </si>
  <si>
    <t>5,247.55kWh@$0.0675</t>
  </si>
  <si>
    <t>October</t>
  </si>
  <si>
    <t>Sept 30-Oct 31</t>
  </si>
  <si>
    <t>6,981.48kWh@$0.08171</t>
  </si>
  <si>
    <t>November</t>
  </si>
  <si>
    <t>Oct 31-Nov 30</t>
  </si>
  <si>
    <t>8,207.56kWh@$0.076801</t>
  </si>
  <si>
    <t>December</t>
  </si>
  <si>
    <t>Nov 30-Dec 31</t>
  </si>
  <si>
    <t>7,998.45kWh@$0.07928</t>
  </si>
  <si>
    <t>January</t>
  </si>
  <si>
    <t>Dec 31-Jan 31 2025</t>
  </si>
  <si>
    <t>9,720.27kWh@$0.083921</t>
  </si>
  <si>
    <t>February</t>
  </si>
  <si>
    <t>Jan 31 - Feb 28, 2025</t>
  </si>
  <si>
    <t>9,083.02kWh@$0.08904</t>
  </si>
  <si>
    <t>March</t>
  </si>
  <si>
    <t>Feb 28 - Mar 31, 2025</t>
  </si>
  <si>
    <t>8,306.78kWh@$0.041091</t>
  </si>
  <si>
    <t xml:space="preserve">April </t>
  </si>
  <si>
    <t>Mar 31 - Apr 30, 2025</t>
  </si>
  <si>
    <t>9,695.59kWh@$0.003</t>
  </si>
  <si>
    <t>May</t>
  </si>
  <si>
    <t>April 30-May 31</t>
  </si>
  <si>
    <t>9,429.71kWh@$0.04005</t>
  </si>
  <si>
    <t>June</t>
  </si>
  <si>
    <t>May 31 - June 30 2025</t>
  </si>
  <si>
    <t>11,052.17kWh@$0.08904</t>
  </si>
  <si>
    <t>Jun 30 - Jul 31, 2025</t>
  </si>
  <si>
    <t>13,647.88kWh @$0.11593</t>
  </si>
  <si>
    <t>Jul 31 - Aug 31, 2025</t>
  </si>
  <si>
    <t>2,387.52kWh@$0.003</t>
  </si>
  <si>
    <t>Aug 31 - Sep 30, 2025</t>
  </si>
  <si>
    <t>11,801.53kWh @$0.003</t>
  </si>
  <si>
    <t>Sep 30 - Oct 31, 2025</t>
  </si>
  <si>
    <t>5,193.13kWh@$0.07482</t>
  </si>
  <si>
    <t>Oct 31 - Nov 30, 2025</t>
  </si>
  <si>
    <t>9,353.6kWh@$0.03961</t>
  </si>
  <si>
    <t>Nov 30 - Dec 31, 2025</t>
  </si>
  <si>
    <t>23,145.67kWh@$0.02226</t>
  </si>
  <si>
    <t>5 Dec 31 - Jan 31, 2026</t>
  </si>
  <si>
    <t>31,432.95kWh@$0.01438</t>
  </si>
  <si>
    <t>Jan 31 - Feb 28, 2026</t>
  </si>
  <si>
    <t>9,552.64kWh@$-0.00292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</si>
</sst>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/>
    <xf numFmtId="0" fontId="0" fillId="0" borderId="3" xfId="0" applyBorder="1"/>
    <xf numFmtId="4" fontId="0" fillId="0" borderId="3" xfId="0" applyNumberFormat="1" applyBorder="1"/>
    <xf numFmtId="164" fontId="0" fillId="0" borderId="3" xfId="0" applyNumberFormat="1" applyBorder="1"/>
    <xf numFmtId="164" fontId="0" fillId="0" borderId="0" xfId="0" applyNumberFormat="1"/>
    <xf numFmtId="0" fontId="1" fillId="4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Border="1"/>
    <xf numFmtId="0" fontId="0" fillId="0" borderId="6" xfId="0" applyBorder="1"/>
    <xf numFmtId="0" fontId="1" fillId="0" borderId="5" xfId="0" applyFont="1" applyBorder="1"/>
    <xf numFmtId="0" fontId="1" fillId="0" borderId="3" xfId="0" applyFont="1" applyBorder="1"/>
    <xf numFmtId="0" fontId="1" fillId="0" borderId="7" xfId="0" applyFont="1" applyBorder="1"/>
    <xf numFmtId="164" fontId="0" fillId="0" borderId="8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4" fontId="0" fillId="0" borderId="9" xfId="0" applyNumberFormat="1" applyBorder="1"/>
    <xf numFmtId="0" fontId="0" fillId="0" borderId="11" xfId="0" applyBorder="1" applyAlignment="1">
      <alignment horizontal="center"/>
    </xf>
    <xf numFmtId="164" fontId="0" fillId="0" borderId="12" xfId="0" applyNumberFormat="1" applyBorder="1"/>
    <xf numFmtId="164" fontId="0" fillId="0" borderId="9" xfId="0" applyNumberFormat="1" applyBorder="1"/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lissa Woo" id="{71FA50BF-AC30-450F-AF20-4CC43EEE7179}" userId="S::Melissa.Woo@Millerwaste.ca::fdc21063-52b6-42bb-a0f3-1dfbae8ac918" providerId="AD"/>
  <person displayName="Melissa Woo" id="{6679A2BA-CDC2-4073-8FDC-7DC2A0E888CE}" userId="S::melissa.woo@millerwaste.ca::fdc21063-52b6-42bb-a0f3-1dfbae8ac9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4-09-23T12:18:22.13" personId="{6679A2BA-CDC2-4073-8FDC-7DC2A0E888CE}" id="{2EEB464F-B7F1-42C0-842A-ABF32FCC6DA7}">
    <text> Billing Demand is the higher of peak kW or 90% of the peak kVA demand.
Monthly billing demand is used to assess distribution and retail transmission connection charges.</text>
  </threadedComment>
  <threadedComment ref="O2" dT="2024-09-16T12:45:04.75" personId="{71FA50BF-AC30-450F-AF20-4CC43EEE7179}" id="{A7CBF902-FED2-477F-A461-26E0BF16F2EC}">
    <text xml:space="preserve">$0.046579/kWh </text>
  </threadedComment>
  <threadedComment ref="R2" dT="2024-09-16T12:45:11.46" personId="{71FA50BF-AC30-450F-AF20-4CC43EEE7179}" id="{5455A66A-BBC7-473E-A7C7-1D26DED2C031}">
    <text xml:space="preserve">$2.953613/kW </text>
  </threadedComment>
  <threadedComment ref="S2" dT="2024-09-16T12:45:25.06" personId="{71FA50BF-AC30-450F-AF20-4CC43EEE7179}" id="{94008CBF-F7A9-40D1-951F-F79BB73013FA}">
    <text xml:space="preserve">$2.051620/kW </text>
  </threadedComment>
  <threadedComment ref="T2" dT="2024-09-16T12:45:35.48" personId="{71FA50BF-AC30-450F-AF20-4CC43EEE7179}" id="{6E010DA1-DA37-421E-AD94-60C8F504FCC1}">
    <text xml:space="preserve">$0.0059/kWh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1,432.95kWh@$0.01438" TargetMode="External"/><Relationship Id="rId2" Type="http://schemas.openxmlformats.org/officeDocument/2006/relationships/hyperlink" Target="mailto:9,353.6kWh@$0.03961" TargetMode="External"/><Relationship Id="rId1" Type="http://schemas.openxmlformats.org/officeDocument/2006/relationships/hyperlink" Target="mailto:5,193.13kWh@$0.07482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2137-E767-4775-857B-3835F53D3DC6}">
  <dimension ref="A1:X29"/>
  <sheetViews>
    <sheetView tabSelected="1" topLeftCell="G1" zoomScale="70" zoomScaleNormal="70" workbookViewId="0">
      <selection activeCell="R38" sqref="R38"/>
    </sheetView>
  </sheetViews>
  <sheetFormatPr defaultColWidth="24.5703125" defaultRowHeight="15" customHeight="1" x14ac:dyDescent="0.25"/>
  <cols>
    <col min="1" max="1" width="11.85546875" customWidth="1"/>
    <col min="2" max="2" width="20.5703125" customWidth="1"/>
    <col min="3" max="3" width="15.28515625" bestFit="1" customWidth="1"/>
    <col min="4" max="4" width="16.7109375" bestFit="1" customWidth="1"/>
    <col min="5" max="5" width="7.28515625" bestFit="1" customWidth="1"/>
    <col min="6" max="6" width="12.5703125" bestFit="1" customWidth="1"/>
    <col min="7" max="8" width="20.28515625" customWidth="1"/>
    <col min="9" max="9" width="27.85546875" bestFit="1" customWidth="1"/>
    <col min="10" max="10" width="17.7109375" bestFit="1" customWidth="1"/>
    <col min="11" max="11" width="14.7109375" bestFit="1" customWidth="1"/>
    <col min="12" max="12" width="16" bestFit="1" customWidth="1"/>
    <col min="13" max="13" width="21.140625" customWidth="1"/>
    <col min="14" max="14" width="16.140625" bestFit="1" customWidth="1"/>
    <col min="15" max="15" width="14.140625" customWidth="1"/>
    <col min="16" max="16" width="17.140625" bestFit="1" customWidth="1"/>
    <col min="17" max="17" width="25.7109375" bestFit="1" customWidth="1"/>
    <col min="18" max="18" width="26.7109375" bestFit="1" customWidth="1"/>
    <col min="19" max="19" width="23" bestFit="1" customWidth="1"/>
    <col min="20" max="20" width="24.7109375" bestFit="1" customWidth="1"/>
    <col min="21" max="21" width="12.140625" customWidth="1"/>
    <col min="22" max="22" width="15.28515625" customWidth="1"/>
    <col min="23" max="23" width="52.5703125" bestFit="1" customWidth="1"/>
    <col min="24" max="24" width="10.7109375" customWidth="1"/>
  </cols>
  <sheetData>
    <row r="1" spans="1:24" x14ac:dyDescent="0.25">
      <c r="J1" s="24" t="s">
        <v>0</v>
      </c>
      <c r="K1" s="24"/>
      <c r="L1" s="24"/>
      <c r="M1" s="7"/>
      <c r="N1" s="25" t="s">
        <v>1</v>
      </c>
      <c r="O1" s="25"/>
      <c r="P1" s="25"/>
      <c r="Q1" s="25"/>
      <c r="R1" s="25"/>
      <c r="S1" s="25"/>
      <c r="T1" s="25"/>
      <c r="U1" s="25"/>
      <c r="V1" s="8"/>
    </row>
    <row r="2" spans="1:24" x14ac:dyDescent="0.25">
      <c r="A2" s="11" t="s">
        <v>2</v>
      </c>
      <c r="B2" s="1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3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6" t="s">
        <v>25</v>
      </c>
    </row>
    <row r="3" spans="1:24" x14ac:dyDescent="0.25">
      <c r="A3" s="2" t="s">
        <v>26</v>
      </c>
      <c r="B3" s="10" t="s">
        <v>27</v>
      </c>
      <c r="C3" s="2" t="s">
        <v>28</v>
      </c>
      <c r="D3" s="2" t="s">
        <v>29</v>
      </c>
      <c r="E3" s="2">
        <v>19</v>
      </c>
      <c r="F3" s="3">
        <v>1809.3</v>
      </c>
      <c r="G3" s="15">
        <v>114.27</v>
      </c>
      <c r="H3" s="16">
        <v>4.6579000000000002E-2</v>
      </c>
      <c r="I3" s="15" t="s">
        <v>30</v>
      </c>
      <c r="J3" s="14">
        <v>30</v>
      </c>
      <c r="K3" s="4">
        <v>493.26</v>
      </c>
      <c r="L3" s="4">
        <v>86.11</v>
      </c>
      <c r="M3" s="4"/>
      <c r="N3" s="4">
        <v>0.15</v>
      </c>
      <c r="O3" s="4">
        <v>88.34</v>
      </c>
      <c r="P3" s="4">
        <v>87.01</v>
      </c>
      <c r="Q3" s="4">
        <v>-1.81</v>
      </c>
      <c r="R3" s="4">
        <v>337.51</v>
      </c>
      <c r="S3" s="4">
        <v>234.44</v>
      </c>
      <c r="T3" s="4">
        <v>11.18</v>
      </c>
      <c r="U3" s="4">
        <v>177.6</v>
      </c>
      <c r="V3" s="4">
        <f>SUM(J3:U3)</f>
        <v>1543.7900000000002</v>
      </c>
      <c r="W3" s="4">
        <f>SUM(J3:T3)-M3</f>
        <v>1366.1900000000003</v>
      </c>
      <c r="X3" s="5">
        <f t="shared" ref="X3:X15" si="0">W3/F3</f>
        <v>0.75509312993975586</v>
      </c>
    </row>
    <row r="4" spans="1:24" x14ac:dyDescent="0.25">
      <c r="A4" s="2" t="s">
        <v>31</v>
      </c>
      <c r="B4" s="9" t="s">
        <v>32</v>
      </c>
      <c r="C4" s="2" t="s">
        <v>28</v>
      </c>
      <c r="D4" s="2" t="s">
        <v>29</v>
      </c>
      <c r="E4" s="2">
        <v>31</v>
      </c>
      <c r="F4" s="3">
        <v>4223.8500000000004</v>
      </c>
      <c r="G4" s="15">
        <v>195.12</v>
      </c>
      <c r="H4" s="16">
        <v>4.9022999999999997E-2</v>
      </c>
      <c r="I4" s="15" t="s">
        <v>33</v>
      </c>
      <c r="J4" s="14"/>
      <c r="K4" s="4">
        <v>1329.87</v>
      </c>
      <c r="L4" s="4">
        <v>140.47999999999999</v>
      </c>
      <c r="M4" s="4"/>
      <c r="N4" s="4">
        <v>0.25</v>
      </c>
      <c r="O4" s="4">
        <v>217.05</v>
      </c>
      <c r="P4" s="4">
        <v>245.81</v>
      </c>
      <c r="Q4" s="4">
        <v>-4.22</v>
      </c>
      <c r="R4" s="4">
        <v>909.96</v>
      </c>
      <c r="S4" s="4">
        <v>632.07000000000005</v>
      </c>
      <c r="T4" s="4">
        <v>26.12</v>
      </c>
      <c r="U4" s="4">
        <v>454.67</v>
      </c>
      <c r="V4" s="4">
        <f t="shared" ref="V4:V14" si="1">SUM(J4:U4)</f>
        <v>3952.06</v>
      </c>
      <c r="W4" s="4">
        <f t="shared" ref="W4:W10" si="2">SUM(J4:T4)-M4</f>
        <v>3497.39</v>
      </c>
      <c r="X4" s="5">
        <f t="shared" si="0"/>
        <v>0.82800999088509286</v>
      </c>
    </row>
    <row r="5" spans="1:24" x14ac:dyDescent="0.25">
      <c r="A5" s="2" t="s">
        <v>34</v>
      </c>
      <c r="B5" s="9" t="s">
        <v>35</v>
      </c>
      <c r="C5" s="2" t="s">
        <v>28</v>
      </c>
      <c r="D5" s="2" t="s">
        <v>29</v>
      </c>
      <c r="E5" s="2">
        <v>30</v>
      </c>
      <c r="F5" s="3">
        <v>5006.25</v>
      </c>
      <c r="G5" s="15">
        <v>210.82</v>
      </c>
      <c r="H5" s="16">
        <v>3.8490000000000003E-2</v>
      </c>
      <c r="I5" s="15" t="s">
        <v>36</v>
      </c>
      <c r="J5" s="14"/>
      <c r="K5" s="4">
        <v>1436.9</v>
      </c>
      <c r="L5" s="4">
        <v>135.94999999999999</v>
      </c>
      <c r="M5" s="4">
        <v>24.87</v>
      </c>
      <c r="N5" s="4">
        <v>0.24</v>
      </c>
      <c r="O5" s="4">
        <v>201.98</v>
      </c>
      <c r="P5" s="4">
        <v>354.21</v>
      </c>
      <c r="Q5" s="4">
        <v>-5.01</v>
      </c>
      <c r="R5" s="4">
        <v>983.18</v>
      </c>
      <c r="S5" s="4">
        <v>682.93</v>
      </c>
      <c r="T5" s="4">
        <v>30.97</v>
      </c>
      <c r="U5" s="4">
        <v>496.78</v>
      </c>
      <c r="V5" s="4">
        <f t="shared" si="1"/>
        <v>4342.9999999999991</v>
      </c>
      <c r="W5" s="4">
        <f t="shared" si="2"/>
        <v>3821.3499999999995</v>
      </c>
      <c r="X5" s="5">
        <f t="shared" si="0"/>
        <v>0.76331585518102363</v>
      </c>
    </row>
    <row r="6" spans="1:24" x14ac:dyDescent="0.25">
      <c r="A6" s="2" t="s">
        <v>37</v>
      </c>
      <c r="B6" s="9" t="s">
        <v>38</v>
      </c>
      <c r="C6" s="2" t="s">
        <v>28</v>
      </c>
      <c r="D6" s="2" t="s">
        <v>29</v>
      </c>
      <c r="E6" s="2">
        <v>31</v>
      </c>
      <c r="F6" s="3">
        <v>6660.45</v>
      </c>
      <c r="G6" s="15">
        <v>118.06</v>
      </c>
      <c r="H6" s="16">
        <v>3.9392999999999997E-2</v>
      </c>
      <c r="I6" s="15" t="s">
        <v>39</v>
      </c>
      <c r="J6" s="14"/>
      <c r="K6" s="4">
        <v>804.66</v>
      </c>
      <c r="L6" s="4">
        <v>140.47999999999999</v>
      </c>
      <c r="M6" s="4">
        <v>87.93</v>
      </c>
      <c r="N6" s="4">
        <v>0.25</v>
      </c>
      <c r="O6" s="4">
        <v>275.02999999999997</v>
      </c>
      <c r="P6" s="4">
        <v>570.46</v>
      </c>
      <c r="Q6" s="4">
        <v>-6.66</v>
      </c>
      <c r="R6" s="4">
        <v>541.35</v>
      </c>
      <c r="S6" s="4">
        <v>382.44</v>
      </c>
      <c r="T6" s="4">
        <v>41.19</v>
      </c>
      <c r="U6" s="4">
        <v>357.39</v>
      </c>
      <c r="V6" s="4">
        <f t="shared" si="1"/>
        <v>3194.52</v>
      </c>
      <c r="W6" s="4">
        <f t="shared" si="2"/>
        <v>2749.2000000000003</v>
      </c>
      <c r="X6" s="5">
        <f t="shared" si="0"/>
        <v>0.41276490327230148</v>
      </c>
    </row>
    <row r="7" spans="1:24" x14ac:dyDescent="0.25">
      <c r="A7" s="2" t="s">
        <v>40</v>
      </c>
      <c r="B7" s="9" t="s">
        <v>41</v>
      </c>
      <c r="C7" s="2" t="s">
        <v>28</v>
      </c>
      <c r="D7" s="2" t="s">
        <v>29</v>
      </c>
      <c r="E7" s="2">
        <v>30</v>
      </c>
      <c r="F7" s="3">
        <v>7830.15</v>
      </c>
      <c r="G7" s="15">
        <v>117.6</v>
      </c>
      <c r="H7" s="16">
        <v>3.619E-2</v>
      </c>
      <c r="I7" s="15" t="s">
        <v>42</v>
      </c>
      <c r="J7" s="14"/>
      <c r="K7" s="4">
        <v>801.53</v>
      </c>
      <c r="L7" s="4">
        <v>135.94999999999999</v>
      </c>
      <c r="M7" s="4">
        <v>25.35</v>
      </c>
      <c r="N7" s="4">
        <v>0.24</v>
      </c>
      <c r="O7" s="4">
        <v>297.02999999999997</v>
      </c>
      <c r="P7" s="4">
        <v>630.35</v>
      </c>
      <c r="Q7" s="4">
        <v>-7.83</v>
      </c>
      <c r="R7" s="4">
        <v>445.84</v>
      </c>
      <c r="S7" s="4">
        <v>380.95</v>
      </c>
      <c r="T7" s="4">
        <v>48.42</v>
      </c>
      <c r="U7" s="4">
        <v>355.22</v>
      </c>
      <c r="V7" s="4">
        <f t="shared" si="1"/>
        <v>3113.05</v>
      </c>
      <c r="W7" s="4">
        <f t="shared" si="2"/>
        <v>2732.48</v>
      </c>
      <c r="X7" s="5">
        <f t="shared" si="0"/>
        <v>0.34896904912421861</v>
      </c>
    </row>
    <row r="8" spans="1:24" x14ac:dyDescent="0.25">
      <c r="A8" s="17" t="s">
        <v>43</v>
      </c>
      <c r="B8" s="18" t="s">
        <v>44</v>
      </c>
      <c r="C8" s="17" t="s">
        <v>28</v>
      </c>
      <c r="D8" s="17" t="s">
        <v>29</v>
      </c>
      <c r="E8" s="17">
        <v>31</v>
      </c>
      <c r="F8" s="19">
        <v>7630.65</v>
      </c>
      <c r="G8" s="20">
        <v>116.67</v>
      </c>
      <c r="H8" s="20">
        <v>4.3930999999999998E-2</v>
      </c>
      <c r="I8" s="15" t="s">
        <v>45</v>
      </c>
      <c r="J8" s="21"/>
      <c r="K8" s="22">
        <v>795.19</v>
      </c>
      <c r="L8" s="22">
        <v>140.47999999999999</v>
      </c>
      <c r="M8" s="22">
        <v>15.58</v>
      </c>
      <c r="N8" s="22">
        <v>0.25</v>
      </c>
      <c r="O8" s="22">
        <v>351.38</v>
      </c>
      <c r="P8" s="22">
        <v>634.12</v>
      </c>
      <c r="Q8" s="22">
        <v>-7.63</v>
      </c>
      <c r="R8" s="22">
        <v>533.70000000000005</v>
      </c>
      <c r="S8" s="22">
        <v>377.94</v>
      </c>
      <c r="T8" s="22">
        <v>47.19</v>
      </c>
      <c r="U8" s="22">
        <v>373.45</v>
      </c>
      <c r="V8" s="22">
        <f t="shared" si="1"/>
        <v>3261.6499999999996</v>
      </c>
      <c r="W8" s="4">
        <f t="shared" si="2"/>
        <v>2872.62</v>
      </c>
      <c r="X8" s="5">
        <f t="shared" si="0"/>
        <v>0.37645809989974643</v>
      </c>
    </row>
    <row r="9" spans="1:24" x14ac:dyDescent="0.25">
      <c r="A9" s="17" t="s">
        <v>46</v>
      </c>
      <c r="B9" s="9" t="s">
        <v>47</v>
      </c>
      <c r="C9" s="2" t="s">
        <v>28</v>
      </c>
      <c r="D9" s="2" t="s">
        <v>29</v>
      </c>
      <c r="E9" s="2">
        <v>31</v>
      </c>
      <c r="F9" s="3">
        <v>9273.2999999999993</v>
      </c>
      <c r="G9" s="15">
        <v>127.18</v>
      </c>
      <c r="H9" s="16">
        <v>6.5273999999999999E-2</v>
      </c>
      <c r="I9" s="15" t="s">
        <v>48</v>
      </c>
      <c r="J9" s="14"/>
      <c r="K9" s="4">
        <v>638.80999999999995</v>
      </c>
      <c r="L9" s="4">
        <v>145.13999999999999</v>
      </c>
      <c r="M9" s="4">
        <v>0.14000000000000001</v>
      </c>
      <c r="N9" s="4">
        <v>0.25</v>
      </c>
      <c r="O9" s="4">
        <v>634.49</v>
      </c>
      <c r="P9" s="4">
        <v>815.73</v>
      </c>
      <c r="Q9" s="4"/>
      <c r="R9" s="4">
        <v>580.51</v>
      </c>
      <c r="S9" s="4">
        <v>424.13</v>
      </c>
      <c r="T9" s="4">
        <v>58.32</v>
      </c>
      <c r="U9" s="4">
        <v>428.65</v>
      </c>
      <c r="V9" s="4">
        <f t="shared" si="1"/>
        <v>3726.17</v>
      </c>
      <c r="W9" s="4">
        <f t="shared" si="2"/>
        <v>3297.38</v>
      </c>
      <c r="X9" s="5">
        <f t="shared" si="0"/>
        <v>0.35557784176075402</v>
      </c>
    </row>
    <row r="10" spans="1:24" ht="15" customHeight="1" x14ac:dyDescent="0.25">
      <c r="A10" s="2" t="s">
        <v>49</v>
      </c>
      <c r="B10" s="9" t="s">
        <v>50</v>
      </c>
      <c r="C10" s="2" t="s">
        <v>28</v>
      </c>
      <c r="D10" s="2" t="s">
        <v>29</v>
      </c>
      <c r="E10" s="2">
        <v>28</v>
      </c>
      <c r="F10" s="3">
        <v>8665.35</v>
      </c>
      <c r="G10" s="15">
        <v>126.09</v>
      </c>
      <c r="H10" s="16">
        <v>7.6220999999999997E-2</v>
      </c>
      <c r="I10" s="15" t="s">
        <v>51</v>
      </c>
      <c r="J10" s="14"/>
      <c r="K10" s="4">
        <v>633.34</v>
      </c>
      <c r="L10" s="4">
        <v>131.09</v>
      </c>
      <c r="M10" s="4"/>
      <c r="N10" s="4">
        <v>0.22</v>
      </c>
      <c r="O10" s="4">
        <v>692.32</v>
      </c>
      <c r="P10" s="4">
        <v>808.75</v>
      </c>
      <c r="Q10" s="4"/>
      <c r="R10" s="4">
        <v>476.82</v>
      </c>
      <c r="S10" s="4">
        <v>420.5</v>
      </c>
      <c r="T10" s="4">
        <v>54.51</v>
      </c>
      <c r="U10" s="4">
        <v>418.28</v>
      </c>
      <c r="V10" s="4">
        <f t="shared" si="1"/>
        <v>3635.8300000000008</v>
      </c>
      <c r="W10" s="4">
        <f t="shared" si="2"/>
        <v>3217.5500000000006</v>
      </c>
      <c r="X10" s="5">
        <f t="shared" si="0"/>
        <v>0.3713121801196721</v>
      </c>
    </row>
    <row r="11" spans="1:24" ht="15" customHeight="1" x14ac:dyDescent="0.25">
      <c r="A11" s="2" t="s">
        <v>52</v>
      </c>
      <c r="B11" s="9" t="s">
        <v>53</v>
      </c>
      <c r="C11" s="2" t="s">
        <v>28</v>
      </c>
      <c r="D11" s="2" t="s">
        <v>29</v>
      </c>
      <c r="E11" s="2">
        <v>31</v>
      </c>
      <c r="F11" s="3">
        <v>7924.8</v>
      </c>
      <c r="G11" s="15">
        <v>126.99</v>
      </c>
      <c r="H11" s="16">
        <v>4.9028000000000002E-2</v>
      </c>
      <c r="I11" s="15" t="s">
        <v>54</v>
      </c>
      <c r="J11" s="14"/>
      <c r="K11" s="4">
        <v>637.85</v>
      </c>
      <c r="L11" s="4">
        <v>145.13999999999999</v>
      </c>
      <c r="M11" s="4"/>
      <c r="N11" s="4">
        <v>0.25</v>
      </c>
      <c r="O11" s="4">
        <v>407.27</v>
      </c>
      <c r="P11" s="4">
        <v>341.33</v>
      </c>
      <c r="Q11" s="4"/>
      <c r="R11" s="4">
        <v>417.52</v>
      </c>
      <c r="S11" s="4">
        <v>423.5</v>
      </c>
      <c r="T11" s="4">
        <v>49.84</v>
      </c>
      <c r="U11" s="4">
        <v>314.95</v>
      </c>
      <c r="V11" s="4">
        <f t="shared" si="1"/>
        <v>2737.6499999999996</v>
      </c>
      <c r="W11" s="4">
        <f t="shared" ref="W11:W12" si="3">SUM(J11:T11)-M11</f>
        <v>2422.6999999999998</v>
      </c>
      <c r="X11" s="5">
        <f t="shared" si="0"/>
        <v>0.30571118514031898</v>
      </c>
    </row>
    <row r="12" spans="1:24" ht="15" customHeight="1" x14ac:dyDescent="0.25">
      <c r="A12" s="2" t="s">
        <v>55</v>
      </c>
      <c r="B12" s="9" t="s">
        <v>56</v>
      </c>
      <c r="C12" s="2" t="s">
        <v>28</v>
      </c>
      <c r="D12" s="2" t="s">
        <v>29</v>
      </c>
      <c r="E12" s="2">
        <v>30</v>
      </c>
      <c r="F12" s="3">
        <v>9249.75</v>
      </c>
      <c r="G12" s="15">
        <v>124.52</v>
      </c>
      <c r="H12" s="16">
        <v>4.3253E-2</v>
      </c>
      <c r="I12" s="15" t="s">
        <v>57</v>
      </c>
      <c r="J12" s="14"/>
      <c r="K12" s="4">
        <v>634.11</v>
      </c>
      <c r="L12" s="4">
        <v>142.68</v>
      </c>
      <c r="M12" s="4"/>
      <c r="N12" s="4">
        <v>0.24</v>
      </c>
      <c r="O12" s="4">
        <v>419.36</v>
      </c>
      <c r="P12" s="4">
        <v>29.09</v>
      </c>
      <c r="Q12" s="4"/>
      <c r="R12" s="4">
        <v>260.83</v>
      </c>
      <c r="S12" s="4">
        <v>415.26</v>
      </c>
      <c r="T12" s="4">
        <v>58.17</v>
      </c>
      <c r="U12" s="4">
        <v>254.77</v>
      </c>
      <c r="V12" s="4">
        <f t="shared" si="1"/>
        <v>2214.5099999999998</v>
      </c>
      <c r="W12" s="4">
        <f t="shared" si="3"/>
        <v>1959.7399999999998</v>
      </c>
      <c r="X12" s="5">
        <f t="shared" si="0"/>
        <v>0.21186950998675638</v>
      </c>
    </row>
    <row r="13" spans="1:24" ht="15" customHeight="1" x14ac:dyDescent="0.25">
      <c r="A13" s="2" t="s">
        <v>58</v>
      </c>
      <c r="B13" s="9" t="s">
        <v>59</v>
      </c>
      <c r="C13" s="2" t="s">
        <v>28</v>
      </c>
      <c r="D13" s="2" t="s">
        <v>29</v>
      </c>
      <c r="E13" s="2">
        <v>31</v>
      </c>
      <c r="F13" s="3">
        <v>8996.1</v>
      </c>
      <c r="G13" s="15">
        <v>119.75</v>
      </c>
      <c r="H13" s="16">
        <v>3.0306E-2</v>
      </c>
      <c r="I13" s="15" t="s">
        <v>60</v>
      </c>
      <c r="J13" s="14"/>
      <c r="K13" s="4">
        <v>609.82000000000005</v>
      </c>
      <c r="L13" s="4">
        <v>147.43</v>
      </c>
      <c r="M13" s="4"/>
      <c r="N13" s="4">
        <v>0.25</v>
      </c>
      <c r="O13" s="4">
        <v>285.77999999999997</v>
      </c>
      <c r="P13" s="4">
        <v>377.66</v>
      </c>
      <c r="Q13" s="4"/>
      <c r="R13" s="4">
        <v>273.23</v>
      </c>
      <c r="S13" s="4">
        <v>399.35</v>
      </c>
      <c r="T13" s="4">
        <v>56.57</v>
      </c>
      <c r="U13" s="4">
        <v>279.51</v>
      </c>
      <c r="V13" s="4">
        <f t="shared" si="1"/>
        <v>2429.6000000000004</v>
      </c>
      <c r="W13" s="4">
        <f t="shared" ref="W13:W14" si="4">SUM(J13:T13)-M13</f>
        <v>2150.09</v>
      </c>
      <c r="X13" s="5">
        <f t="shared" si="0"/>
        <v>0.23900245662009093</v>
      </c>
    </row>
    <row r="14" spans="1:24" ht="15" customHeight="1" x14ac:dyDescent="0.25">
      <c r="A14" s="2" t="s">
        <v>61</v>
      </c>
      <c r="B14" s="9" t="s">
        <v>62</v>
      </c>
      <c r="C14" s="2" t="s">
        <v>28</v>
      </c>
      <c r="D14" s="2" t="s">
        <v>29</v>
      </c>
      <c r="E14" s="2">
        <v>30</v>
      </c>
      <c r="F14" s="3">
        <v>10543.95</v>
      </c>
      <c r="G14" s="15">
        <v>122.86</v>
      </c>
      <c r="H14" s="16">
        <v>5.2005000000000003E-2</v>
      </c>
      <c r="I14" s="15" t="s">
        <v>63</v>
      </c>
      <c r="J14" s="14"/>
      <c r="K14" s="4">
        <v>625.64</v>
      </c>
      <c r="L14" s="4">
        <v>142.68</v>
      </c>
      <c r="M14" s="4"/>
      <c r="N14" s="4">
        <v>0.24</v>
      </c>
      <c r="O14" s="4">
        <v>574.77</v>
      </c>
      <c r="P14" s="4">
        <v>984.08</v>
      </c>
      <c r="Q14" s="4"/>
      <c r="R14" s="4">
        <v>310.70999999999998</v>
      </c>
      <c r="S14" s="4">
        <v>409.73</v>
      </c>
      <c r="T14" s="4">
        <v>66.31</v>
      </c>
      <c r="U14" s="4">
        <v>404.84</v>
      </c>
      <c r="V14" s="4">
        <f t="shared" si="1"/>
        <v>3519</v>
      </c>
      <c r="W14" s="4">
        <f t="shared" si="4"/>
        <v>3114.16</v>
      </c>
      <c r="X14" s="5">
        <f t="shared" si="0"/>
        <v>0.29535041421858027</v>
      </c>
    </row>
    <row r="15" spans="1:24" ht="15" customHeight="1" x14ac:dyDescent="0.25">
      <c r="A15" s="2" t="s">
        <v>26</v>
      </c>
      <c r="B15" s="9" t="s">
        <v>64</v>
      </c>
      <c r="C15" s="2" t="s">
        <v>28</v>
      </c>
      <c r="D15" s="2" t="s">
        <v>29</v>
      </c>
      <c r="E15" s="2">
        <v>31</v>
      </c>
      <c r="F15" s="3">
        <v>13020.3</v>
      </c>
      <c r="G15" s="15">
        <v>122.14</v>
      </c>
      <c r="H15" s="16">
        <v>7.5090000000000004E-2</v>
      </c>
      <c r="I15" s="15" t="s">
        <v>65</v>
      </c>
      <c r="J15" s="14"/>
      <c r="K15" s="4">
        <v>621.99</v>
      </c>
      <c r="L15" s="4">
        <v>147.43</v>
      </c>
      <c r="M15" s="4"/>
      <c r="N15" s="4">
        <v>0.25</v>
      </c>
      <c r="O15" s="4">
        <v>1024.81</v>
      </c>
      <c r="P15" s="4">
        <v>1582.2</v>
      </c>
      <c r="Q15" s="4"/>
      <c r="R15" s="4">
        <v>340.29</v>
      </c>
      <c r="S15" s="4">
        <v>407.32</v>
      </c>
      <c r="T15" s="4">
        <v>81.88</v>
      </c>
      <c r="U15" s="4">
        <v>546.80999999999995</v>
      </c>
      <c r="V15" s="4">
        <f t="shared" ref="V15" si="5">SUM(J15:U15)</f>
        <v>4752.9799999999996</v>
      </c>
      <c r="W15" s="4">
        <f t="shared" ref="W15" si="6">SUM(J15:T15)-M15</f>
        <v>4206.17</v>
      </c>
      <c r="X15" s="5">
        <f t="shared" si="0"/>
        <v>0.32304708800872484</v>
      </c>
    </row>
    <row r="16" spans="1:24" ht="15" customHeight="1" x14ac:dyDescent="0.25">
      <c r="A16" s="2" t="s">
        <v>31</v>
      </c>
      <c r="B16" s="9" t="s">
        <v>66</v>
      </c>
      <c r="C16" s="2" t="s">
        <v>28</v>
      </c>
      <c r="D16" s="2" t="s">
        <v>29</v>
      </c>
      <c r="E16" s="2">
        <v>31</v>
      </c>
      <c r="F16" s="3">
        <v>11817.9</v>
      </c>
      <c r="G16" s="15">
        <v>121.2</v>
      </c>
      <c r="H16" s="16">
        <v>6.4792000000000002E-2</v>
      </c>
      <c r="I16" s="15" t="s">
        <v>67</v>
      </c>
      <c r="J16" s="14"/>
      <c r="K16" s="4">
        <v>617.19000000000005</v>
      </c>
      <c r="L16" s="4">
        <v>147.43</v>
      </c>
      <c r="M16" s="4"/>
      <c r="N16" s="4">
        <v>0.25</v>
      </c>
      <c r="O16" s="4">
        <v>802.62</v>
      </c>
      <c r="P16" s="4">
        <v>37.159999999999997</v>
      </c>
      <c r="Q16" s="4"/>
      <c r="R16" s="4">
        <v>353.84</v>
      </c>
      <c r="S16" s="4">
        <v>404.19</v>
      </c>
      <c r="T16" s="4">
        <v>74.33</v>
      </c>
      <c r="U16" s="4">
        <v>316.81</v>
      </c>
      <c r="V16" s="4">
        <f t="shared" ref="V16:V25" si="7">SUM(J16:U16)</f>
        <v>2753.82</v>
      </c>
      <c r="W16" s="4">
        <f t="shared" ref="W16:W25" si="8">SUM(J16:T16)-M16</f>
        <v>2437.0100000000002</v>
      </c>
      <c r="X16" s="5">
        <f t="shared" ref="X16:X25" si="9">W16/F16</f>
        <v>0.20621345585933207</v>
      </c>
    </row>
    <row r="17" spans="1:24" ht="15" customHeight="1" x14ac:dyDescent="0.25">
      <c r="A17" s="2" t="s">
        <v>34</v>
      </c>
      <c r="B17" s="9" t="s">
        <v>68</v>
      </c>
      <c r="C17" s="2" t="s">
        <v>28</v>
      </c>
      <c r="D17" s="2" t="s">
        <v>29</v>
      </c>
      <c r="E17" s="2">
        <v>31</v>
      </c>
      <c r="F17" s="3">
        <v>11258.85</v>
      </c>
      <c r="G17" s="15">
        <v>119.82</v>
      </c>
      <c r="H17" s="16">
        <v>4.9897999999999998E-2</v>
      </c>
      <c r="I17" s="15" t="s">
        <v>69</v>
      </c>
      <c r="J17" s="14"/>
      <c r="K17" s="4">
        <v>610.17999999999995</v>
      </c>
      <c r="L17" s="4">
        <v>142.68</v>
      </c>
      <c r="M17" s="4"/>
      <c r="N17" s="4">
        <v>0.24</v>
      </c>
      <c r="O17" s="4">
        <v>588.87</v>
      </c>
      <c r="P17" s="4">
        <v>35.409999999999997</v>
      </c>
      <c r="Q17" s="4"/>
      <c r="R17" s="4">
        <v>299.58</v>
      </c>
      <c r="S17" s="4">
        <v>399.59</v>
      </c>
      <c r="T17" s="4">
        <v>70.8</v>
      </c>
      <c r="U17" s="4">
        <v>279.14999999999998</v>
      </c>
      <c r="V17" s="4">
        <f t="shared" si="7"/>
        <v>2426.5</v>
      </c>
      <c r="W17" s="4">
        <f t="shared" si="8"/>
        <v>2147.35</v>
      </c>
      <c r="X17" s="5">
        <f t="shared" si="9"/>
        <v>0.19072551814794583</v>
      </c>
    </row>
    <row r="18" spans="1:24" ht="15" customHeight="1" x14ac:dyDescent="0.25">
      <c r="A18" s="2" t="s">
        <v>37</v>
      </c>
      <c r="B18" s="9" t="s">
        <v>70</v>
      </c>
      <c r="C18" s="2" t="s">
        <v>28</v>
      </c>
      <c r="D18" s="2" t="s">
        <v>29</v>
      </c>
      <c r="E18" s="2">
        <v>31</v>
      </c>
      <c r="F18" s="3">
        <v>14494.5</v>
      </c>
      <c r="G18" s="15">
        <v>120.39</v>
      </c>
      <c r="H18" s="16">
        <v>4.9146000000000002E-2</v>
      </c>
      <c r="I18" s="15" t="s">
        <v>71</v>
      </c>
      <c r="J18" s="14"/>
      <c r="K18" s="4">
        <v>613.08000000000004</v>
      </c>
      <c r="L18" s="4">
        <v>147.43</v>
      </c>
      <c r="M18" s="4">
        <v>8.33</v>
      </c>
      <c r="N18" s="4">
        <v>0.25</v>
      </c>
      <c r="O18" s="4">
        <v>746.68</v>
      </c>
      <c r="P18" s="4">
        <v>1136.75</v>
      </c>
      <c r="Q18" s="4"/>
      <c r="R18" s="4">
        <v>358.48</v>
      </c>
      <c r="S18" s="4">
        <v>401.49</v>
      </c>
      <c r="T18" s="4">
        <v>91.16</v>
      </c>
      <c r="U18" s="4">
        <v>454.4</v>
      </c>
      <c r="V18" s="4">
        <f t="shared" si="7"/>
        <v>3958.0499999999997</v>
      </c>
      <c r="W18" s="4">
        <f t="shared" si="8"/>
        <v>3495.3199999999997</v>
      </c>
      <c r="X18" s="5">
        <f t="shared" si="9"/>
        <v>0.24114802166338953</v>
      </c>
    </row>
    <row r="19" spans="1:24" ht="15" customHeight="1" x14ac:dyDescent="0.25">
      <c r="A19" s="2" t="s">
        <v>40</v>
      </c>
      <c r="B19" s="9" t="s">
        <v>72</v>
      </c>
      <c r="C19" s="2" t="s">
        <v>28</v>
      </c>
      <c r="D19" s="2" t="s">
        <v>29</v>
      </c>
      <c r="E19" s="2">
        <v>30</v>
      </c>
      <c r="F19" s="3">
        <v>18463.650000000001</v>
      </c>
      <c r="G19" s="15">
        <v>115.55</v>
      </c>
      <c r="H19" s="16">
        <v>8.3315E-2</v>
      </c>
      <c r="I19" s="23" t="s">
        <v>73</v>
      </c>
      <c r="J19" s="14"/>
      <c r="K19" s="4">
        <v>648.32000000000005</v>
      </c>
      <c r="L19" s="4">
        <v>142.68</v>
      </c>
      <c r="M19" s="4">
        <v>9.5500000000000007</v>
      </c>
      <c r="N19" s="4">
        <v>0.24</v>
      </c>
      <c r="O19" s="4">
        <v>1612.45</v>
      </c>
      <c r="P19" s="4">
        <v>766.6</v>
      </c>
      <c r="Q19" s="4"/>
      <c r="R19" s="4">
        <v>582.17999999999995</v>
      </c>
      <c r="S19" s="4">
        <v>424.57</v>
      </c>
      <c r="T19" s="4">
        <v>116.13</v>
      </c>
      <c r="U19" s="4">
        <v>558.12</v>
      </c>
      <c r="V19" s="4">
        <f t="shared" si="7"/>
        <v>4860.8399999999992</v>
      </c>
      <c r="W19" s="4">
        <f t="shared" si="8"/>
        <v>4293.1699999999992</v>
      </c>
      <c r="X19" s="5">
        <f t="shared" si="9"/>
        <v>0.23252011384531221</v>
      </c>
    </row>
    <row r="20" spans="1:24" ht="15" customHeight="1" x14ac:dyDescent="0.25">
      <c r="A20" s="2" t="s">
        <v>43</v>
      </c>
      <c r="B20" s="9" t="s">
        <v>74</v>
      </c>
      <c r="C20" s="2" t="s">
        <v>28</v>
      </c>
      <c r="D20" s="2" t="s">
        <v>29</v>
      </c>
      <c r="E20" s="2">
        <v>31</v>
      </c>
      <c r="F20" s="3">
        <v>22081.35</v>
      </c>
      <c r="G20" s="15">
        <v>127.85</v>
      </c>
      <c r="H20" s="16">
        <v>9.9113000000000007E-2</v>
      </c>
      <c r="I20" s="23" t="s">
        <v>75</v>
      </c>
      <c r="J20" s="14"/>
      <c r="K20" s="4">
        <v>651.08000000000004</v>
      </c>
      <c r="L20" s="4">
        <v>147.43</v>
      </c>
      <c r="M20" s="4">
        <v>7.0000000000000007E-2</v>
      </c>
      <c r="N20" s="4">
        <v>0.25</v>
      </c>
      <c r="O20" s="4">
        <v>2294.04</v>
      </c>
      <c r="P20" s="4">
        <v>515.22</v>
      </c>
      <c r="Q20" s="4"/>
      <c r="R20" s="4">
        <v>619.01</v>
      </c>
      <c r="S20" s="4">
        <v>426.37</v>
      </c>
      <c r="T20" s="4">
        <v>138.87</v>
      </c>
      <c r="U20" s="4">
        <v>623</v>
      </c>
      <c r="V20" s="4">
        <f t="shared" si="7"/>
        <v>5415.34</v>
      </c>
      <c r="W20" s="4">
        <f t="shared" si="8"/>
        <v>4792.2700000000004</v>
      </c>
      <c r="X20" s="5">
        <f t="shared" si="9"/>
        <v>0.21702794439651565</v>
      </c>
    </row>
    <row r="21" spans="1:24" ht="15" customHeight="1" x14ac:dyDescent="0.25">
      <c r="A21" s="2" t="s">
        <v>46</v>
      </c>
      <c r="B21" s="9" t="s">
        <v>76</v>
      </c>
      <c r="C21" s="2" t="s">
        <v>28</v>
      </c>
      <c r="D21" s="2" t="s">
        <v>29</v>
      </c>
      <c r="E21" s="2">
        <v>31</v>
      </c>
      <c r="F21" s="3">
        <v>29987.55</v>
      </c>
      <c r="G21" s="15">
        <v>233.67</v>
      </c>
      <c r="H21" s="16">
        <v>0.13000200000000001</v>
      </c>
      <c r="I21" s="23" t="s">
        <v>77</v>
      </c>
      <c r="J21" s="14"/>
      <c r="K21" s="4">
        <v>1155.56</v>
      </c>
      <c r="L21" s="4">
        <v>147.43</v>
      </c>
      <c r="M21" s="4"/>
      <c r="N21" s="4">
        <v>0.25</v>
      </c>
      <c r="O21" s="4">
        <v>4086.34</v>
      </c>
      <c r="P21" s="4">
        <v>452</v>
      </c>
      <c r="Q21" s="4"/>
      <c r="R21" s="4">
        <v>633.87</v>
      </c>
      <c r="S21" s="4">
        <v>779.27</v>
      </c>
      <c r="T21" s="4">
        <v>188.61</v>
      </c>
      <c r="U21" s="4">
        <v>967.63</v>
      </c>
      <c r="V21" s="4">
        <f t="shared" si="7"/>
        <v>8410.9599999999991</v>
      </c>
      <c r="W21" s="4">
        <f t="shared" si="8"/>
        <v>7443.329999999999</v>
      </c>
      <c r="X21" s="5">
        <f t="shared" si="9"/>
        <v>0.24821400881365766</v>
      </c>
    </row>
    <row r="22" spans="1:24" ht="15" customHeight="1" x14ac:dyDescent="0.25">
      <c r="A22" s="2" t="s">
        <v>49</v>
      </c>
      <c r="B22" s="9" t="s">
        <v>78</v>
      </c>
      <c r="C22" s="2" t="s">
        <v>28</v>
      </c>
      <c r="D22" s="2" t="s">
        <v>29</v>
      </c>
      <c r="E22" s="2">
        <v>28</v>
      </c>
      <c r="F22" s="3">
        <v>28193.7</v>
      </c>
      <c r="G22" s="15">
        <v>253</v>
      </c>
      <c r="H22" s="16">
        <v>0.123796</v>
      </c>
      <c r="I22" s="23" t="s">
        <v>79</v>
      </c>
      <c r="J22" s="14"/>
      <c r="K22" s="4">
        <v>1363.7</v>
      </c>
      <c r="L22" s="4">
        <v>138.41</v>
      </c>
      <c r="M22" s="4"/>
      <c r="N22" s="4">
        <v>0.22</v>
      </c>
      <c r="O22" s="4">
        <v>3658.5</v>
      </c>
      <c r="P22" s="4">
        <v>279.12</v>
      </c>
      <c r="Q22" s="4">
        <v>-86.3</v>
      </c>
      <c r="R22" s="4">
        <v>740.31</v>
      </c>
      <c r="S22" s="4">
        <v>879.05</v>
      </c>
      <c r="T22" s="4">
        <v>156.63999999999999</v>
      </c>
      <c r="U22" s="4">
        <v>926.86</v>
      </c>
      <c r="V22" s="4">
        <f t="shared" si="7"/>
        <v>8056.5099999999993</v>
      </c>
      <c r="W22" s="4">
        <f t="shared" si="8"/>
        <v>7129.65</v>
      </c>
      <c r="X22" s="5">
        <f t="shared" si="9"/>
        <v>0.25288096276827798</v>
      </c>
    </row>
    <row r="23" spans="1:24" ht="15" customHeight="1" x14ac:dyDescent="0.25">
      <c r="A23" s="2"/>
      <c r="B23" s="9"/>
      <c r="C23" s="2"/>
      <c r="D23" s="2"/>
      <c r="E23" s="2"/>
      <c r="F23" s="3"/>
      <c r="G23" s="15"/>
      <c r="H23" s="16"/>
      <c r="I23" s="23"/>
      <c r="J23" s="1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>
        <f t="shared" si="7"/>
        <v>0</v>
      </c>
      <c r="W23" s="4">
        <f t="shared" si="8"/>
        <v>0</v>
      </c>
      <c r="X23" s="5" t="e">
        <f t="shared" si="9"/>
        <v>#DIV/0!</v>
      </c>
    </row>
    <row r="24" spans="1:24" ht="15" customHeight="1" x14ac:dyDescent="0.25">
      <c r="A24" s="2"/>
      <c r="B24" s="9"/>
      <c r="C24" s="2"/>
      <c r="D24" s="2"/>
      <c r="E24" s="2"/>
      <c r="F24" s="3"/>
      <c r="G24" s="15"/>
      <c r="H24" s="16"/>
      <c r="I24" s="15"/>
      <c r="J24" s="1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>
        <f t="shared" si="7"/>
        <v>0</v>
      </c>
      <c r="W24" s="4">
        <f t="shared" si="8"/>
        <v>0</v>
      </c>
      <c r="X24" s="5" t="e">
        <f t="shared" si="9"/>
        <v>#DIV/0!</v>
      </c>
    </row>
    <row r="25" spans="1:24" ht="15" customHeight="1" x14ac:dyDescent="0.25">
      <c r="A25" s="2"/>
      <c r="B25" s="9"/>
      <c r="C25" s="2"/>
      <c r="D25" s="2"/>
      <c r="E25" s="2"/>
      <c r="F25" s="3"/>
      <c r="G25" s="15"/>
      <c r="H25" s="16"/>
      <c r="I25" s="15"/>
      <c r="J25" s="1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>
        <f t="shared" si="7"/>
        <v>0</v>
      </c>
      <c r="W25" s="4">
        <f t="shared" si="8"/>
        <v>0</v>
      </c>
      <c r="X25" s="5" t="e">
        <f t="shared" si="9"/>
        <v>#DIV/0!</v>
      </c>
    </row>
    <row r="29" spans="1:24" ht="15" customHeight="1" x14ac:dyDescent="0.25">
      <c r="W29" s="5"/>
    </row>
  </sheetData>
  <mergeCells count="2">
    <mergeCell ref="J1:L1"/>
    <mergeCell ref="N1:U1"/>
  </mergeCells>
  <hyperlinks>
    <hyperlink ref="I18" r:id="rId1" xr:uid="{E5B7634D-7885-4F65-ABCD-0A4BB3943E27}"/>
    <hyperlink ref="I19" r:id="rId2" xr:uid="{0B457CEE-4E38-4AA4-855D-EDA93DFDD074}"/>
    <hyperlink ref="I21" r:id="rId3" xr:uid="{72048042-5CA7-47B8-9746-3C5431343974}"/>
  </hyperlinks>
  <pageMargins left="0.7" right="0.7" top="0.75" bottom="0.75" header="0.3" footer="0.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5E1C6C21D4D747882FFC1B1DB12F54" ma:contentTypeVersion="14" ma:contentTypeDescription="Create a new document." ma:contentTypeScope="" ma:versionID="ebcd00f67393685aac17b5b10af655cf">
  <xsd:schema xmlns:xsd="http://www.w3.org/2001/XMLSchema" xmlns:xs="http://www.w3.org/2001/XMLSchema" xmlns:p="http://schemas.microsoft.com/office/2006/metadata/properties" xmlns:ns2="8e897d00-9665-4c14-a7e5-9c68e381fa23" xmlns:ns3="2e96da69-75b6-42f5-a8bb-83d12de244fa" targetNamespace="http://schemas.microsoft.com/office/2006/metadata/properties" ma:root="true" ma:fieldsID="31b1d2edaa7608acb6c947427ad84415" ns2:_="" ns3:_="">
    <xsd:import namespace="8e897d00-9665-4c14-a7e5-9c68e381fa23"/>
    <xsd:import namespace="2e96da69-75b6-42f5-a8bb-83d12de24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97d00-9665-4c14-a7e5-9c68e381f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d4f7018-4042-4e78-aa8c-243777416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6da69-75b6-42f5-a8bb-83d12de244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53bbf33-e3c8-4932-a7a5-88341a42870a}" ma:internalName="TaxCatchAll" ma:showField="CatchAllData" ma:web="2e96da69-75b6-42f5-a8bb-83d12de24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96da69-75b6-42f5-a8bb-83d12de244fa" xsi:nil="true"/>
    <lcf76f155ced4ddcb4097134ff3c332f xmlns="8e897d00-9665-4c14-a7e5-9c68e381fa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DD813D-42B0-467E-9AFC-697142DFE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97d00-9665-4c14-a7e5-9c68e381fa23"/>
    <ds:schemaRef ds:uri="2e96da69-75b6-42f5-a8bb-83d12de24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2A5D85-9118-48FD-AD47-6136A2E7F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4CE1DB-98AC-4E2B-A6E5-5AA4737636E9}">
  <ds:schemaRefs>
    <ds:schemaRef ds:uri="http://schemas.microsoft.com/office/2006/metadata/properties"/>
    <ds:schemaRef ds:uri="http://schemas.microsoft.com/office/infopath/2007/PartnerControls"/>
    <ds:schemaRef ds:uri="2e96da69-75b6-42f5-a8bb-83d12de244fa"/>
    <ds:schemaRef ds:uri="8e897d00-9665-4c14-a7e5-9c68e381f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Elexicon Bill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Woo</cp:lastModifiedBy>
  <cp:revision/>
  <dcterms:created xsi:type="dcterms:W3CDTF">2024-10-21T13:04:42Z</dcterms:created>
  <dcterms:modified xsi:type="dcterms:W3CDTF">2026-04-01T16:08:20Z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0x010100885E1C6C21D4D747882FFC1B1DB12F54</vt:lpwstr>
  </property>
  <property fmtid="{D5CDD505-2E9C-101B-9397-08002B2CF9AE}" pid="3" name="MediaServiceImageTags">
    <vt:lpwstr/>
  </property>
</Properties>
</file>