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elissa.woo\Downloads\"/>
    </mc:Choice>
  </mc:AlternateContent>
  <xr:revisionPtr revIDLastSave="0" documentId="13_ncr:1_{92768BB3-EE0D-41C2-90A7-17F577A6FE69}" xr6:coauthVersionLast="47" xr6:coauthVersionMax="47" xr10:uidLastSave="{00000000-0000-0000-0000-000000000000}"/>
  <bookViews>
    <workbookView xWindow="51480" yWindow="5115" windowWidth="29040" windowHeight="15720" xr2:uid="{00000000-000D-0000-FFFF-FFFF00000000}"/>
  </bookViews>
  <sheets>
    <sheet name="Enbridge Invoice Comparison" sheetId="1" r:id="rId1"/>
  </sheets>
  <definedNames>
    <definedName name="_xlnm._FilterDatabase" localSheetId="0" hidden="1">'Enbridge Invoice Comparison'!$A$8:$W$8</definedName>
  </definedNames>
  <calcPr calcId="191028" iterate="1" iterateCount="100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W29" i="1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0" i="1"/>
  <c r="G11" i="1"/>
  <c r="G12" i="1"/>
  <c r="G13" i="1"/>
  <c r="G14" i="1"/>
  <c r="G9" i="1"/>
  <c r="D30" i="1"/>
  <c r="D31" i="1"/>
  <c r="D32" i="1"/>
  <c r="V28" i="1"/>
  <c r="I57" i="1"/>
  <c r="I53" i="1"/>
  <c r="I46" i="1"/>
  <c r="I42" i="1"/>
  <c r="V27" i="1"/>
  <c r="W27" i="1"/>
  <c r="V26" i="1"/>
  <c r="W26" i="1"/>
  <c r="V25" i="1"/>
  <c r="W25" i="1"/>
  <c r="H57" i="1"/>
  <c r="G57" i="1"/>
  <c r="H53" i="1"/>
  <c r="G53" i="1"/>
  <c r="H51" i="1"/>
  <c r="H46" i="1"/>
  <c r="G46" i="1"/>
  <c r="H42" i="1"/>
  <c r="G42" i="1"/>
  <c r="D28" i="1"/>
  <c r="D29" i="1"/>
  <c r="D26" i="1"/>
  <c r="D27" i="1"/>
  <c r="V24" i="1"/>
  <c r="W24" i="1" s="1"/>
  <c r="V23" i="1"/>
  <c r="D23" i="1"/>
  <c r="D24" i="1"/>
  <c r="D25" i="1"/>
  <c r="V22" i="1"/>
  <c r="W22" i="1"/>
  <c r="D22" i="1"/>
  <c r="V21" i="1"/>
  <c r="W21" i="1"/>
  <c r="D21" i="1"/>
  <c r="V20" i="1"/>
  <c r="D20" i="1"/>
  <c r="F57" i="1"/>
  <c r="F53" i="1"/>
  <c r="F46" i="1"/>
  <c r="F42" i="1"/>
  <c r="V19" i="1"/>
  <c r="D19" i="1"/>
  <c r="V18" i="1"/>
  <c r="D18" i="1"/>
  <c r="V17" i="1"/>
  <c r="D17" i="1"/>
  <c r="V16" i="1"/>
  <c r="V14" i="1"/>
  <c r="D16" i="1"/>
  <c r="D14" i="1"/>
  <c r="W14" i="1"/>
  <c r="V13" i="1"/>
  <c r="W13" i="1"/>
  <c r="V12" i="1"/>
  <c r="D13" i="1"/>
  <c r="D57" i="1"/>
  <c r="C57" i="1"/>
  <c r="B57" i="1"/>
  <c r="D53" i="1"/>
  <c r="C53" i="1"/>
  <c r="B53" i="1"/>
  <c r="D46" i="1"/>
  <c r="C46" i="1"/>
  <c r="B46" i="1"/>
  <c r="D42" i="1"/>
  <c r="C42" i="1"/>
  <c r="B42" i="1"/>
  <c r="V9" i="1"/>
  <c r="V10" i="1"/>
  <c r="V11" i="1"/>
  <c r="W11" i="1" s="1"/>
  <c r="D9" i="1"/>
  <c r="D10" i="1"/>
  <c r="D11" i="1"/>
  <c r="D12" i="1"/>
  <c r="W28" i="1" l="1"/>
  <c r="W23" i="1"/>
  <c r="W16" i="1"/>
  <c r="W17" i="1"/>
  <c r="W18" i="1"/>
  <c r="W19" i="1"/>
  <c r="W20" i="1"/>
  <c r="W9" i="1"/>
  <c r="W12" i="1"/>
  <c r="W10" i="1"/>
  <c r="W38" i="1" l="1"/>
  <c r="W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tc={E199ACB3-42DE-436C-8658-0536879630B0}</author>
    <author>tc={CD0ECD6E-BE85-4E5C-8268-F71D9AE36778}</author>
    <author>tc={F5660BD9-C897-49C6-A58D-235C9C4E99D7}</author>
    <author>tc={5877441B-1397-45AB-BD49-70FB4FDAB71D}</author>
    <author>tc={86F9C226-E5CB-4DE1-A066-7E9F15C53EBD}</author>
    <author>tc={2509C816-4D4E-49EF-9044-67726AC8215F}</author>
    <author>tc={A2375077-3221-4065-B91E-E5EBD4044ADE}</author>
    <author>tc={2B7AC421-4695-4844-AE11-B360D6768ED0}</author>
    <author>tc={26E64A1F-E158-4C2E-8023-6C4247ECB4E8}</author>
    <author>tc={35C6B424-E937-48B0-AC74-5DF0DA4B7B13}</author>
    <author>tc={5FE62FF4-34BE-4A94-865E-98E542B2C004}</author>
    <author>tc={FC55768F-5EDF-40D8-BA90-2847E9154C2B}</author>
    <author>tc={CA377473-14BD-4A56-B800-22D253D2B4E7}</author>
    <author>tc={E6D1E7CE-8403-4C07-9F5C-D8115BC86095}</author>
    <author>tc={0EE0C8F2-DC4B-461E-B072-3F9D66364C51}</author>
    <author>tc={91834144-5C30-4003-BC0E-C99488F72C22}</author>
    <author>Melissa Woo</author>
    <author>tc={229E4FB5-C76E-4107-AC96-118C5A3F31A0}</author>
  </authors>
  <commentList>
    <comment ref="K9" authorId="0" shapeId="0" xr:uid="{E199ACB3-42DE-436C-8658-0536879630B0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billing period isn’t a full month, I think this is approximated to be half of the fixed monthly charge</t>
      </text>
    </comment>
    <comment ref="L9" authorId="1" shapeId="0" xr:uid="{CD0ECD6E-BE85-4E5C-8268-F71D9AE36778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using Q3 rate</t>
      </text>
    </comment>
    <comment ref="M9" authorId="2" shapeId="0" xr:uid="{F5660BD9-C897-49C6-A58D-235C9C4E99D7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when using Q3 rates</t>
      </text>
    </comment>
    <comment ref="N9" authorId="3" shapeId="0" xr:uid="{5877441B-1397-45AB-BD49-70FB4FDAB71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to be $78.96 ($0.15 difference)</t>
      </text>
    </comment>
    <comment ref="O9" authorId="4" shapeId="0" xr:uid="{86F9C226-E5CB-4DE1-A066-7E9F15C53EBD}">
      <text>
        <t>[Threaded comment]
Your version of Excel allows you to read this threaded comment; however, any edits to it will get removed if the file is opened in a newer version of Excel. Learn more: https://go.microsoft.com/fwlink/?linkid=870924
Comment:
    25 cents off using Q2 &amp; Q3 rates</t>
      </text>
    </comment>
    <comment ref="P9" authorId="5" shapeId="0" xr:uid="{2509C816-4D4E-49EF-9044-67726AC8215F}">
      <text>
        <t>[Threaded comment]
Your version of Excel allows you to read this threaded comment; however, any edits to it will get removed if the file is opened in a newer version of Excel. Learn more: https://go.microsoft.com/fwlink/?linkid=870924
Comment:
    5 cents off using Q2 and Q3 rates</t>
      </text>
    </comment>
    <comment ref="R9" authorId="6" shapeId="0" xr:uid="{A2375077-3221-4065-B91E-E5EBD4044ADE}">
      <text>
        <t>[Threaded comment]
Your version of Excel allows you to read this threaded comment; however, any edits to it will get removed if the file is opened in a newer version of Excel. Learn more: https://go.microsoft.com/fwlink/?linkid=870924
Comment:
    Gas Supply Charge 
(1,523 m³ @ 9.7703¢/m³)
Reply:
    9 cents difference using Q2 rates</t>
      </text>
    </comment>
    <comment ref="S9" authorId="7" shapeId="0" xr:uid="{2B7AC421-4695-4844-AE11-B360D6768ED0}">
      <text>
        <t>[Threaded comment]
Your version of Excel allows you to read this threaded comment; however, any edits to it will get removed if the file is opened in a newer version of Excel. Learn more: https://go.microsoft.com/fwlink/?linkid=870924
Comment:
    Gas Supply Charge
(2,032 m³ @ 10.5093¢/m³)
Reply:
    Exact same using Q3 rate</t>
      </text>
    </comment>
    <comment ref="T9" authorId="8" shapeId="0" xr:uid="{26E64A1F-E158-4C2E-8023-6C4247ECB4E8}">
      <text>
        <t>[Threaded comment]
Your version of Excel allows you to read this threaded comment; however, any edits to it will get removed if the file is opened in a newer version of Excel. Learn more: https://go.microsoft.com/fwlink/?linkid=870924
Comment:
    Exact same using Q2 and Q3 rates</t>
      </text>
    </comment>
    <comment ref="N10" authorId="9" shapeId="0" xr:uid="{35C6B424-E937-48B0-AC74-5DF0DA4B7B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one to be $176.01 using Q3 Rates &amp; Rate Riders E ($1.13 difference)</t>
      </text>
    </comment>
    <comment ref="N11" authorId="10" shapeId="0" xr:uid="{5FE62FF4-34BE-4A94-865E-98E542B2C0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to be $408.50 using Q3 rate handbook and Rate riders E ($2.63 difference)</t>
      </text>
    </comment>
    <comment ref="L12" authorId="11" shapeId="0" xr:uid="{FC55768F-5EDF-40D8-BA90-2847E9154C2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CD of 8462m3 using Q3 rate</t>
      </text>
    </comment>
    <comment ref="M12" authorId="12" shapeId="0" xr:uid="{CA377473-14BD-4A56-B800-22D253D2B4E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CD of 1,538m3 using rates from Q3 &amp; Q4</t>
      </text>
    </comment>
    <comment ref="N12" authorId="13" shapeId="0" xr:uid="{E6D1E7CE-8403-4C07-9F5C-D8115BC8609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$394.75. ($2.04 difference)</t>
      </text>
    </comment>
    <comment ref="R12" authorId="14" shapeId="0" xr:uid="{0EE0C8F2-DC4B-461E-B072-3F9D66364C51}">
      <text>
        <t>[Threaded comment]
Your version of Excel allows you to read this threaded comment; however, any edits to it will get removed if the file is opened in a newer version of Excel. Learn more: https://go.microsoft.com/fwlink/?linkid=870924
Comment:
    Gas Supply Charge
(15,045 m³ @ 10.5093¢/m³)</t>
      </text>
    </comment>
    <comment ref="S12" authorId="15" shapeId="0" xr:uid="{91834144-5C30-4003-BC0E-C99488F72C22}">
      <text>
        <t>[Threaded comment]
Your version of Excel allows you to read this threaded comment; however, any edits to it will get removed if the file is opened in a newer version of Excel. Learn more: https://go.microsoft.com/fwlink/?linkid=870924
Comment:
    Gas Supply Charge 
(2,736 m³ @ 10.1243¢/m³)</t>
      </text>
    </comment>
    <comment ref="F16" authorId="16" shapeId="0" xr:uid="{B90FD015-E0FD-4520-86CD-1A2AF316A6E5}">
      <text>
        <r>
          <rPr>
            <sz val="11"/>
            <color theme="1"/>
            <rFont val="Aptos Narrow"/>
            <family val="2"/>
            <scheme val="minor"/>
          </rPr>
          <t xml:space="preserve">Melissa Woo:
Estimated Enbridge Volume
</t>
        </r>
      </text>
    </comment>
    <comment ref="B39" authorId="17" shapeId="0" xr:uid="{229E4FB5-C76E-4107-AC96-118C5A3F31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rate rider E in rate handbook for Q2</t>
      </text>
    </comment>
  </commentList>
</comments>
</file>

<file path=xl/sharedStrings.xml><?xml version="1.0" encoding="utf-8"?>
<sst xmlns="http://schemas.openxmlformats.org/spreadsheetml/2006/main" count="104" uniqueCount="84">
  <si>
    <t>Enbridge Invoice - Pickering</t>
  </si>
  <si>
    <r>
      <t>Address:</t>
    </r>
    <r>
      <rPr>
        <sz val="11"/>
        <color theme="1"/>
        <rFont val="Aptos Narrow"/>
        <family val="2"/>
        <scheme val="minor"/>
      </rPr>
      <t xml:space="preserve"> 1250 SQUIRES BEACH RD CNG STATION PICKERING ON L1L 1L1</t>
    </r>
  </si>
  <si>
    <r>
      <rPr>
        <b/>
        <sz val="11"/>
        <color rgb="FF000000"/>
        <rFont val="Aptos Narrow"/>
        <family val="2"/>
        <scheme val="minor"/>
      </rPr>
      <t>Account Number:</t>
    </r>
    <r>
      <rPr>
        <sz val="11"/>
        <color rgb="FF000000"/>
        <rFont val="Aptos Narrow"/>
        <family val="2"/>
        <scheme val="minor"/>
      </rPr>
      <t xml:space="preserve"> 930610223601</t>
    </r>
  </si>
  <si>
    <t>&lt;&lt; bill number in sage (include private check box)</t>
  </si>
  <si>
    <r>
      <rPr>
        <b/>
        <sz val="11"/>
        <color rgb="FF000000"/>
        <rFont val="Aptos Narrow"/>
        <family val="2"/>
        <scheme val="minor"/>
      </rPr>
      <t xml:space="preserve">Bill Number: </t>
    </r>
    <r>
      <rPr>
        <sz val="11"/>
        <color rgb="FF000000"/>
        <rFont val="Aptos Narrow"/>
        <family val="2"/>
        <scheme val="minor"/>
      </rPr>
      <t>107000512616</t>
    </r>
  </si>
  <si>
    <r>
      <t xml:space="preserve">Rate: </t>
    </r>
    <r>
      <rPr>
        <sz val="11"/>
        <color theme="1"/>
        <rFont val="Aptos Narrow"/>
        <family val="2"/>
        <scheme val="minor"/>
      </rPr>
      <t>Rate 100</t>
    </r>
  </si>
  <si>
    <t>Enbridge Qtr Handbook Rate Reference</t>
  </si>
  <si>
    <t>Start Date</t>
  </si>
  <si>
    <t>End Date</t>
  </si>
  <si>
    <t xml:space="preserve">Billing Period </t>
  </si>
  <si>
    <t>Meter Reading Previous</t>
  </si>
  <si>
    <t>Meter Reading Actual</t>
  </si>
  <si>
    <t>CF to M3 Conversion</t>
  </si>
  <si>
    <t>CD</t>
  </si>
  <si>
    <t>Gas Consumption</t>
  </si>
  <si>
    <t>Split Volumes</t>
  </si>
  <si>
    <t>Customer Charge</t>
  </si>
  <si>
    <t>CD _1</t>
  </si>
  <si>
    <t>CD_2</t>
  </si>
  <si>
    <t>Delivery To You</t>
  </si>
  <si>
    <t>Load Balancing</t>
  </si>
  <si>
    <t xml:space="preserve">Transportation </t>
  </si>
  <si>
    <t>Federal Carbon Charge</t>
  </si>
  <si>
    <t>Gas Supply Charge_1</t>
  </si>
  <si>
    <t>Gas Supply Charge_2</t>
  </si>
  <si>
    <t>Cost Adjustment</t>
  </si>
  <si>
    <t>Previous Bill charge</t>
  </si>
  <si>
    <t>Enbridge Invoice Cost (Excluding HST)</t>
  </si>
  <si>
    <t>$/m3</t>
  </si>
  <si>
    <t>Q2 &amp; Q3 2024</t>
  </si>
  <si>
    <t>2,000 &amp; 2,667 m3</t>
  </si>
  <si>
    <t>1,523 m³ &amp; 2,032 m³</t>
  </si>
  <si>
    <t>Q3 2024</t>
  </si>
  <si>
    <t>N/A</t>
  </si>
  <si>
    <t>Q3 &amp; Q4 2024</t>
  </si>
  <si>
    <t>8,462 &amp; 1,538 m3</t>
  </si>
  <si>
    <t>15,045 m³ &amp; 2,736 m³</t>
  </si>
  <si>
    <t>Q4 2024</t>
  </si>
  <si>
    <t>8,438 &amp; 1,563 m3</t>
  </si>
  <si>
    <t>Dec invoice missing (for month of Jan) - from a note in Sage</t>
  </si>
  <si>
    <t>Q1 2025</t>
  </si>
  <si>
    <t>Q1 and Q2 2025</t>
  </si>
  <si>
    <t>9,259 &amp; 741 m3</t>
  </si>
  <si>
    <t>18,871 &amp;  1,573</t>
  </si>
  <si>
    <t>Q2 2025</t>
  </si>
  <si>
    <t>Q2 &amp; Q3 2025</t>
  </si>
  <si>
    <t>7,879 &amp; 2,121</t>
  </si>
  <si>
    <t>38,397 &amp;  10,338</t>
  </si>
  <si>
    <t>Q3 2025</t>
  </si>
  <si>
    <t>Q3 &amp; Q4 2025</t>
  </si>
  <si>
    <t>7813 &amp; 2,188</t>
  </si>
  <si>
    <t>40772 &amp; 11,417</t>
  </si>
  <si>
    <t>Q4 2025</t>
  </si>
  <si>
    <t xml:space="preserve">8000 &amp; 2000 </t>
  </si>
  <si>
    <t>Q4 2025 &amp; Q1 2026</t>
  </si>
  <si>
    <t>8065 &amp; 1,935</t>
  </si>
  <si>
    <t>74891 &amp; 17,974</t>
  </si>
  <si>
    <t>Q1 2026</t>
  </si>
  <si>
    <t>Enbridge Rate Hand Book - Rates</t>
  </si>
  <si>
    <t>Q2 2024 Rates</t>
  </si>
  <si>
    <t>Q3 2024 Rates</t>
  </si>
  <si>
    <t>Q4 2024 Rates</t>
  </si>
  <si>
    <t>Q1 2025 Rates</t>
  </si>
  <si>
    <t>Q2 2025 Rates</t>
  </si>
  <si>
    <t>Q3 2025 Rates</t>
  </si>
  <si>
    <t>Q4 2025 Rates</t>
  </si>
  <si>
    <t>Q1 2026 Rates</t>
  </si>
  <si>
    <t>Customer Charge (Monthly charge)</t>
  </si>
  <si>
    <t>Contract Demand Charge</t>
  </si>
  <si>
    <t>CD Delivery Charge</t>
  </si>
  <si>
    <t>Rate Rider E - Delivery Charge - Contract Demand</t>
  </si>
  <si>
    <t xml:space="preserve">Delivery to You </t>
  </si>
  <si>
    <t>Gas Delivery Charge</t>
  </si>
  <si>
    <t>Rate Rider E -Delivery Charges - Commodity</t>
  </si>
  <si>
    <t>Facility Charge (Rider J)</t>
  </si>
  <si>
    <t>Load Balancing Charge</t>
  </si>
  <si>
    <t>Gas Supply Charge</t>
  </si>
  <si>
    <t>System Supply (Gas commodity)</t>
  </si>
  <si>
    <t>Rate Rider E - Gas Supply Commodity Charge</t>
  </si>
  <si>
    <t>Transportation to Enbridge</t>
  </si>
  <si>
    <t>Transportation Charge</t>
  </si>
  <si>
    <t>Rate Rider E - Gas Supply Transportation Charge</t>
  </si>
  <si>
    <t>Cost Adjustment (Rider C)</t>
  </si>
  <si>
    <t>Federal Carbon Charge (Rider J) -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</si>
</sst>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3" formatCode="_(* #,##0.00_);_(* \(#,##0.00\);_(* &quot;-&quot;??_);_(@_)"/>
    <numFmt numFmtId="164" formatCode="#,##0\ &quot;m3&quot;"/>
    <numFmt numFmtId="165" formatCode="_(* #,##0_);_(* \(#,##0\);_(* &quot;-&quot;??_);_(@_)"/>
    <numFmt numFmtId="166" formatCode="0\ &quot;Days&quot;"/>
    <numFmt numFmtId="167" formatCode="&quot;$&quot;#,##0.0000000_);[Red]\(&quot;$&quot;#,##0.0000000\)"/>
    <numFmt numFmtId="168" formatCode="#,##0.000000_)&quot;$/m3&quot;"/>
    <numFmt numFmtId="169" formatCode="#,##0.00000_)&quot;$/m3&quot;"/>
    <numFmt numFmtId="176" formatCode="#,##0.0000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b/>
      <strike/>
      <sz val="11"/>
      <color theme="1" tint="0.499984740745262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trike/>
      <sz val="11"/>
      <color theme="1" tint="0.34998626667073579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1BE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FC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8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2" xfId="0" applyFon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8" fontId="0" fillId="2" borderId="2" xfId="0" applyNumberForma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3" xfId="0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8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8" xfId="0" applyBorder="1"/>
    <xf numFmtId="0" fontId="2" fillId="3" borderId="9" xfId="0" applyFont="1" applyFill="1" applyBorder="1"/>
    <xf numFmtId="0" fontId="2" fillId="4" borderId="9" xfId="0" applyFont="1" applyFill="1" applyBorder="1"/>
    <xf numFmtId="0" fontId="2" fillId="5" borderId="9" xfId="0" applyFont="1" applyFill="1" applyBorder="1"/>
    <xf numFmtId="0" fontId="2" fillId="0" borderId="8" xfId="0" applyFont="1" applyBorder="1"/>
    <xf numFmtId="168" fontId="2" fillId="3" borderId="9" xfId="0" applyNumberFormat="1" applyFont="1" applyFill="1" applyBorder="1" applyAlignment="1">
      <alignment horizontal="center"/>
    </xf>
    <xf numFmtId="168" fontId="2" fillId="4" borderId="9" xfId="0" applyNumberFormat="1" applyFont="1" applyFill="1" applyBorder="1" applyAlignment="1">
      <alignment horizontal="center"/>
    </xf>
    <xf numFmtId="168" fontId="2" fillId="5" borderId="9" xfId="0" applyNumberFormat="1" applyFont="1" applyFill="1" applyBorder="1" applyAlignment="1">
      <alignment horizontal="center"/>
    </xf>
    <xf numFmtId="168" fontId="4" fillId="4" borderId="9" xfId="0" applyNumberFormat="1" applyFont="1" applyFill="1" applyBorder="1" applyAlignment="1">
      <alignment horizontal="right"/>
    </xf>
    <xf numFmtId="0" fontId="0" fillId="4" borderId="9" xfId="0" applyFill="1" applyBorder="1"/>
    <xf numFmtId="0" fontId="0" fillId="5" borderId="9" xfId="0" applyFill="1" applyBorder="1"/>
    <xf numFmtId="169" fontId="2" fillId="3" borderId="9" xfId="0" applyNumberFormat="1" applyFont="1" applyFill="1" applyBorder="1" applyAlignment="1">
      <alignment horizontal="center"/>
    </xf>
    <xf numFmtId="169" fontId="2" fillId="4" borderId="9" xfId="0" applyNumberFormat="1" applyFont="1" applyFill="1" applyBorder="1" applyAlignment="1">
      <alignment horizontal="center"/>
    </xf>
    <xf numFmtId="169" fontId="2" fillId="5" borderId="9" xfId="0" applyNumberFormat="1" applyFont="1" applyFill="1" applyBorder="1" applyAlignment="1">
      <alignment horizontal="center"/>
    </xf>
    <xf numFmtId="0" fontId="2" fillId="0" borderId="10" xfId="0" applyFont="1" applyBorder="1"/>
    <xf numFmtId="167" fontId="0" fillId="0" borderId="0" xfId="0" applyNumberFormat="1"/>
    <xf numFmtId="0" fontId="0" fillId="3" borderId="9" xfId="0" applyFill="1" applyBorder="1"/>
    <xf numFmtId="8" fontId="6" fillId="3" borderId="7" xfId="0" applyNumberFormat="1" applyFont="1" applyFill="1" applyBorder="1" applyAlignment="1">
      <alignment horizontal="center"/>
    </xf>
    <xf numFmtId="8" fontId="6" fillId="4" borderId="7" xfId="0" applyNumberFormat="1" applyFont="1" applyFill="1" applyBorder="1" applyAlignment="1">
      <alignment horizontal="center"/>
    </xf>
    <xf numFmtId="8" fontId="6" fillId="5" borderId="7" xfId="0" applyNumberFormat="1" applyFont="1" applyFill="1" applyBorder="1" applyAlignment="1">
      <alignment horizontal="center"/>
    </xf>
    <xf numFmtId="168" fontId="6" fillId="3" borderId="9" xfId="0" applyNumberFormat="1" applyFont="1" applyFill="1" applyBorder="1" applyAlignment="1">
      <alignment horizontal="right"/>
    </xf>
    <xf numFmtId="168" fontId="6" fillId="4" borderId="9" xfId="0" applyNumberFormat="1" applyFont="1" applyFill="1" applyBorder="1" applyAlignment="1">
      <alignment horizontal="right"/>
    </xf>
    <xf numFmtId="168" fontId="6" fillId="5" borderId="9" xfId="0" applyNumberFormat="1" applyFont="1" applyFill="1" applyBorder="1" applyAlignment="1">
      <alignment horizontal="right"/>
    </xf>
    <xf numFmtId="168" fontId="6" fillId="3" borderId="9" xfId="0" applyNumberFormat="1" applyFont="1" applyFill="1" applyBorder="1" applyAlignment="1">
      <alignment horizontal="center"/>
    </xf>
    <xf numFmtId="168" fontId="6" fillId="4" borderId="9" xfId="0" applyNumberFormat="1" applyFont="1" applyFill="1" applyBorder="1" applyAlignment="1">
      <alignment horizontal="center"/>
    </xf>
    <xf numFmtId="168" fontId="6" fillId="5" borderId="9" xfId="0" applyNumberFormat="1" applyFont="1" applyFill="1" applyBorder="1" applyAlignment="1">
      <alignment horizontal="center"/>
    </xf>
    <xf numFmtId="168" fontId="6" fillId="3" borderId="11" xfId="0" applyNumberFormat="1" applyFont="1" applyFill="1" applyBorder="1" applyAlignment="1">
      <alignment horizontal="center"/>
    </xf>
    <xf numFmtId="168" fontId="6" fillId="4" borderId="11" xfId="0" applyNumberFormat="1" applyFont="1" applyFill="1" applyBorder="1" applyAlignment="1">
      <alignment horizontal="center"/>
    </xf>
    <xf numFmtId="168" fontId="6" fillId="5" borderId="11" xfId="0" applyNumberFormat="1" applyFont="1" applyFill="1" applyBorder="1" applyAlignment="1">
      <alignment horizontal="center"/>
    </xf>
    <xf numFmtId="0" fontId="7" fillId="0" borderId="1" xfId="0" applyFont="1" applyBorder="1"/>
    <xf numFmtId="8" fontId="6" fillId="6" borderId="7" xfId="0" applyNumberFormat="1" applyFont="1" applyFill="1" applyBorder="1" applyAlignment="1">
      <alignment horizontal="center"/>
    </xf>
    <xf numFmtId="0" fontId="2" fillId="6" borderId="9" xfId="0" applyFont="1" applyFill="1" applyBorder="1"/>
    <xf numFmtId="168" fontId="2" fillId="6" borderId="9" xfId="0" applyNumberFormat="1" applyFont="1" applyFill="1" applyBorder="1" applyAlignment="1">
      <alignment horizontal="center"/>
    </xf>
    <xf numFmtId="168" fontId="6" fillId="6" borderId="9" xfId="0" applyNumberFormat="1" applyFont="1" applyFill="1" applyBorder="1" applyAlignment="1">
      <alignment horizontal="right"/>
    </xf>
    <xf numFmtId="168" fontId="6" fillId="6" borderId="9" xfId="0" applyNumberFormat="1" applyFont="1" applyFill="1" applyBorder="1" applyAlignment="1">
      <alignment horizontal="center"/>
    </xf>
    <xf numFmtId="0" fontId="0" fillId="6" borderId="9" xfId="0" applyFill="1" applyBorder="1"/>
    <xf numFmtId="169" fontId="2" fillId="6" borderId="9" xfId="0" applyNumberFormat="1" applyFont="1" applyFill="1" applyBorder="1" applyAlignment="1">
      <alignment horizontal="center"/>
    </xf>
    <xf numFmtId="168" fontId="6" fillId="6" borderId="11" xfId="0" applyNumberFormat="1" applyFont="1" applyFill="1" applyBorder="1" applyAlignment="1">
      <alignment horizontal="center"/>
    </xf>
    <xf numFmtId="4" fontId="0" fillId="0" borderId="0" xfId="0" applyNumberFormat="1"/>
    <xf numFmtId="8" fontId="0" fillId="8" borderId="1" xfId="0" applyNumberForma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8" fontId="6" fillId="9" borderId="13" xfId="0" applyNumberFormat="1" applyFont="1" applyFill="1" applyBorder="1" applyAlignment="1">
      <alignment horizontal="center"/>
    </xf>
    <xf numFmtId="0" fontId="2" fillId="9" borderId="14" xfId="0" applyFont="1" applyFill="1" applyBorder="1"/>
    <xf numFmtId="168" fontId="2" fillId="9" borderId="14" xfId="0" applyNumberFormat="1" applyFont="1" applyFill="1" applyBorder="1" applyAlignment="1">
      <alignment horizontal="center"/>
    </xf>
    <xf numFmtId="168" fontId="6" fillId="9" borderId="14" xfId="0" applyNumberFormat="1" applyFont="1" applyFill="1" applyBorder="1" applyAlignment="1">
      <alignment horizontal="right"/>
    </xf>
    <xf numFmtId="168" fontId="6" fillId="9" borderId="14" xfId="0" applyNumberFormat="1" applyFont="1" applyFill="1" applyBorder="1" applyAlignment="1">
      <alignment horizontal="center"/>
    </xf>
    <xf numFmtId="0" fontId="0" fillId="9" borderId="14" xfId="0" applyFill="1" applyBorder="1"/>
    <xf numFmtId="169" fontId="2" fillId="9" borderId="14" xfId="0" applyNumberFormat="1" applyFont="1" applyFill="1" applyBorder="1" applyAlignment="1">
      <alignment horizontal="center"/>
    </xf>
    <xf numFmtId="168" fontId="6" fillId="9" borderId="15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8" fontId="6" fillId="10" borderId="13" xfId="0" applyNumberFormat="1" applyFont="1" applyFill="1" applyBorder="1" applyAlignment="1">
      <alignment horizontal="center"/>
    </xf>
    <xf numFmtId="0" fontId="2" fillId="10" borderId="14" xfId="0" applyFont="1" applyFill="1" applyBorder="1"/>
    <xf numFmtId="168" fontId="2" fillId="10" borderId="14" xfId="0" applyNumberFormat="1" applyFont="1" applyFill="1" applyBorder="1" applyAlignment="1">
      <alignment horizontal="center"/>
    </xf>
    <xf numFmtId="168" fontId="6" fillId="10" borderId="14" xfId="0" applyNumberFormat="1" applyFont="1" applyFill="1" applyBorder="1" applyAlignment="1">
      <alignment horizontal="right"/>
    </xf>
    <xf numFmtId="168" fontId="6" fillId="10" borderId="14" xfId="0" applyNumberFormat="1" applyFont="1" applyFill="1" applyBorder="1" applyAlignment="1">
      <alignment horizontal="center"/>
    </xf>
    <xf numFmtId="0" fontId="0" fillId="10" borderId="14" xfId="0" applyFill="1" applyBorder="1"/>
    <xf numFmtId="169" fontId="2" fillId="10" borderId="14" xfId="0" applyNumberFormat="1" applyFont="1" applyFill="1" applyBorder="1" applyAlignment="1">
      <alignment horizontal="center"/>
    </xf>
    <xf numFmtId="168" fontId="11" fillId="10" borderId="15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8" fontId="12" fillId="11" borderId="13" xfId="0" applyNumberFormat="1" applyFont="1" applyFill="1" applyBorder="1" applyAlignment="1">
      <alignment horizontal="center"/>
    </xf>
    <xf numFmtId="0" fontId="2" fillId="11" borderId="14" xfId="0" applyFont="1" applyFill="1" applyBorder="1"/>
    <xf numFmtId="168" fontId="2" fillId="11" borderId="14" xfId="0" applyNumberFormat="1" applyFont="1" applyFill="1" applyBorder="1" applyAlignment="1">
      <alignment horizontal="center"/>
    </xf>
    <xf numFmtId="168" fontId="12" fillId="11" borderId="14" xfId="0" applyNumberFormat="1" applyFont="1" applyFill="1" applyBorder="1" applyAlignment="1">
      <alignment horizontal="right"/>
    </xf>
    <xf numFmtId="0" fontId="0" fillId="11" borderId="14" xfId="0" applyFill="1" applyBorder="1"/>
    <xf numFmtId="169" fontId="2" fillId="11" borderId="14" xfId="0" applyNumberFormat="1" applyFont="1" applyFill="1" applyBorder="1" applyAlignment="1">
      <alignment horizontal="center"/>
    </xf>
    <xf numFmtId="168" fontId="12" fillId="11" borderId="14" xfId="0" applyNumberFormat="1" applyFont="1" applyFill="1" applyBorder="1" applyAlignment="1">
      <alignment horizontal="center"/>
    </xf>
    <xf numFmtId="168" fontId="13" fillId="11" borderId="1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5" fontId="5" fillId="0" borderId="17" xfId="0" applyNumberFormat="1" applyFont="1" applyBorder="1" applyAlignment="1">
      <alignment horizontal="center"/>
    </xf>
    <xf numFmtId="8" fontId="12" fillId="12" borderId="13" xfId="0" applyNumberFormat="1" applyFont="1" applyFill="1" applyBorder="1" applyAlignment="1">
      <alignment horizontal="center"/>
    </xf>
    <xf numFmtId="0" fontId="2" fillId="12" borderId="14" xfId="0" applyFont="1" applyFill="1" applyBorder="1"/>
    <xf numFmtId="168" fontId="2" fillId="12" borderId="14" xfId="0" applyNumberFormat="1" applyFont="1" applyFill="1" applyBorder="1" applyAlignment="1">
      <alignment horizontal="center"/>
    </xf>
    <xf numFmtId="168" fontId="12" fillId="12" borderId="14" xfId="0" applyNumberFormat="1" applyFont="1" applyFill="1" applyBorder="1" applyAlignment="1">
      <alignment horizontal="right"/>
    </xf>
    <xf numFmtId="0" fontId="0" fillId="12" borderId="14" xfId="0" applyFill="1" applyBorder="1"/>
    <xf numFmtId="169" fontId="2" fillId="12" borderId="14" xfId="0" applyNumberFormat="1" applyFont="1" applyFill="1" applyBorder="1" applyAlignment="1">
      <alignment horizontal="center"/>
    </xf>
    <xf numFmtId="168" fontId="12" fillId="12" borderId="14" xfId="0" applyNumberFormat="1" applyFont="1" applyFill="1" applyBorder="1" applyAlignment="1">
      <alignment horizontal="center"/>
    </xf>
    <xf numFmtId="168" fontId="13" fillId="12" borderId="15" xfId="0" applyNumberFormat="1" applyFont="1" applyFill="1" applyBorder="1" applyAlignment="1">
      <alignment horizontal="center"/>
    </xf>
    <xf numFmtId="0" fontId="14" fillId="0" borderId="1" xfId="0" applyFont="1" applyBorder="1"/>
    <xf numFmtId="1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8" fontId="0" fillId="0" borderId="18" xfId="0" applyNumberFormat="1" applyBorder="1" applyAlignment="1">
      <alignment horizontal="center"/>
    </xf>
    <xf numFmtId="8" fontId="0" fillId="0" borderId="19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15" fontId="0" fillId="13" borderId="1" xfId="0" applyNumberForma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3" fontId="0" fillId="13" borderId="1" xfId="0" applyNumberFormat="1" applyFill="1" applyBorder="1" applyAlignment="1">
      <alignment horizontal="center"/>
    </xf>
    <xf numFmtId="176" fontId="0" fillId="13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8" fontId="0" fillId="13" borderId="2" xfId="0" applyNumberFormat="1" applyFill="1" applyBorder="1" applyAlignment="1">
      <alignment horizontal="center"/>
    </xf>
    <xf numFmtId="8" fontId="0" fillId="13" borderId="1" xfId="0" applyNumberFormat="1" applyFill="1" applyBorder="1" applyAlignment="1">
      <alignment horizontal="center"/>
    </xf>
    <xf numFmtId="8" fontId="0" fillId="13" borderId="4" xfId="0" applyNumberFormat="1" applyFill="1" applyBorder="1" applyAlignment="1">
      <alignment horizontal="center"/>
    </xf>
    <xf numFmtId="0" fontId="0" fillId="1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E6FC"/>
      <color rgb="FFFFD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lissa Woo" id="{F0933DAB-896D-4D7B-BA09-39CAF39252D0}" userId="S::Melissa.Woo@Millerwaste.ca::fdc21063-52b6-42bb-a0f3-1dfbae8ac9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4-11-04T21:40:55.31" personId="{F0933DAB-896D-4D7B-BA09-39CAF39252D0}" id="{E199ACB3-42DE-436C-8658-0536879630B0}">
    <text>Since billing period isn’t a full month, I think this is approximated to be half of the fixed monthly charge</text>
  </threadedComment>
  <threadedComment ref="L9" dT="2024-11-05T21:23:06.97" personId="{F0933DAB-896D-4D7B-BA09-39CAF39252D0}" id="{CD0ECD6E-BE85-4E5C-8268-F71D9AE36778}">
    <text>Same using Q3 rate</text>
  </threadedComment>
  <threadedComment ref="M9" dT="2024-11-05T21:24:38.24" personId="{F0933DAB-896D-4D7B-BA09-39CAF39252D0}" id="{F5660BD9-C897-49C6-A58D-235C9C4E99D7}">
    <text>Same when using Q3 rates</text>
  </threadedComment>
  <threadedComment ref="N9" dT="2024-11-04T21:53:59.43" personId="{F0933DAB-896D-4D7B-BA09-39CAF39252D0}" id="{5877441B-1397-45AB-BD49-70FB4FDAB71D}">
    <text>Calculated to be $78.96 ($0.15 difference)</text>
  </threadedComment>
  <threadedComment ref="O9" dT="2024-11-05T21:30:59.10" personId="{F0933DAB-896D-4D7B-BA09-39CAF39252D0}" id="{86F9C226-E5CB-4DE1-A066-7E9F15C53EBD}">
    <text>25 cents off using Q2 &amp; Q3 rates</text>
  </threadedComment>
  <threadedComment ref="P9" dT="2024-11-05T21:31:17.86" personId="{F0933DAB-896D-4D7B-BA09-39CAF39252D0}" id="{2509C816-4D4E-49EF-9044-67726AC8215F}">
    <text>5 cents off using Q2 and Q3 rates</text>
  </threadedComment>
  <threadedComment ref="R9" dT="2024-11-05T13:47:58.25" personId="{F0933DAB-896D-4D7B-BA09-39CAF39252D0}" id="{A2375077-3221-4065-B91E-E5EBD4044ADE}">
    <text>Gas Supply Charge 
(1,523 m³ @ 9.7703¢/m³)</text>
  </threadedComment>
  <threadedComment ref="R9" dT="2024-11-05T21:31:50.42" personId="{F0933DAB-896D-4D7B-BA09-39CAF39252D0}" id="{1DC2E9B2-31F8-4AE2-B6E1-C2EE4ECF604A}" parentId="{A2375077-3221-4065-B91E-E5EBD4044ADE}">
    <text>9 cents difference using Q2 rates</text>
  </threadedComment>
  <threadedComment ref="S9" dT="2024-11-05T13:48:08.21" personId="{F0933DAB-896D-4D7B-BA09-39CAF39252D0}" id="{2B7AC421-4695-4844-AE11-B360D6768ED0}">
    <text>Gas Supply Charge
(2,032 m³ @ 10.5093¢/m³)</text>
  </threadedComment>
  <threadedComment ref="S9" dT="2024-11-05T21:32:02.22" personId="{F0933DAB-896D-4D7B-BA09-39CAF39252D0}" id="{7A16979A-EB75-4FC1-A870-071800BACDCD}" parentId="{2B7AC421-4695-4844-AE11-B360D6768ED0}">
    <text>Exact same using Q3 rate</text>
  </threadedComment>
  <threadedComment ref="T9" dT="2024-11-05T21:32:42.24" personId="{F0933DAB-896D-4D7B-BA09-39CAF39252D0}" id="{26E64A1F-E158-4C2E-8023-6C4247ECB4E8}">
    <text>Exact same using Q2 and Q3 rates</text>
  </threadedComment>
  <threadedComment ref="N10" dT="2024-11-04T20:50:04.18" personId="{F0933DAB-896D-4D7B-BA09-39CAF39252D0}" id="{35C6B424-E937-48B0-AC74-5DF0DA4B7B13}">
    <text>Calculated one to be $176.01 using Q3 Rates &amp; Rate Riders E ($1.13 difference)</text>
  </threadedComment>
  <threadedComment ref="N11" dT="2024-11-04T20:56:18.86" personId="{F0933DAB-896D-4D7B-BA09-39CAF39252D0}" id="{5FE62FF4-34BE-4A94-865E-98E542B2C004}">
    <text>Calculated to be $408.50 using Q3 rate handbook and Rate riders E ($2.63 difference)</text>
  </threadedComment>
  <threadedComment ref="L12" dT="2024-11-04T21:20:03.55" personId="{F0933DAB-896D-4D7B-BA09-39CAF39252D0}" id="{FC55768F-5EDF-40D8-BA90-2847E9154C2B}">
    <text>For CD of 8462m3 using Q3 rate</text>
  </threadedComment>
  <threadedComment ref="M12" dT="2024-11-04T21:21:02.06" personId="{F0933DAB-896D-4D7B-BA09-39CAF39252D0}" id="{CA377473-14BD-4A56-B800-22D253D2B4E7}">
    <text>For CD of 1,538m3 using rates from Q3 &amp; Q4</text>
  </threadedComment>
  <threadedComment ref="N12" dT="2024-11-05T21:14:51.76" personId="{F0933DAB-896D-4D7B-BA09-39CAF39252D0}" id="{E6D1E7CE-8403-4C07-9F5C-D8115BC86095}">
    <text>Calculated $394.75. ($2.04 difference)</text>
  </threadedComment>
  <threadedComment ref="R12" dT="2024-11-05T13:54:44.44" personId="{F0933DAB-896D-4D7B-BA09-39CAF39252D0}" id="{0EE0C8F2-DC4B-461E-B072-3F9D66364C51}">
    <text>Gas Supply Charge
(15,045 m³ @ 10.5093¢/m³)</text>
  </threadedComment>
  <threadedComment ref="S12" dT="2024-11-05T13:54:50.53" personId="{F0933DAB-896D-4D7B-BA09-39CAF39252D0}" id="{91834144-5C30-4003-BC0E-C99488F72C22}">
    <text>Gas Supply Charge 
(2,736 m³ @ 10.1243¢/m³)</text>
  </threadedComment>
  <threadedComment ref="B39" dT="2024-11-05T21:34:33.03" personId="{F0933DAB-896D-4D7B-BA09-39CAF39252D0}" id="{229E4FB5-C76E-4107-AC96-118C5A3F31A0}">
    <text>No rate rider E in rate handbook for Q2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tabSelected="1" zoomScaleNormal="100" workbookViewId="0">
      <selection activeCell="E5" sqref="E5"/>
    </sheetView>
  </sheetViews>
  <sheetFormatPr defaultRowHeight="15" customHeight="1" x14ac:dyDescent="0.25"/>
  <cols>
    <col min="1" max="1" width="52.42578125" customWidth="1"/>
    <col min="2" max="2" width="16.7109375" customWidth="1"/>
    <col min="3" max="3" width="21.85546875" customWidth="1"/>
    <col min="4" max="4" width="16.7109375" bestFit="1" customWidth="1"/>
    <col min="5" max="5" width="24.5703125" bestFit="1" customWidth="1"/>
    <col min="6" max="6" width="22.5703125" bestFit="1" customWidth="1"/>
    <col min="7" max="7" width="22.5703125" customWidth="1"/>
    <col min="8" max="8" width="16.7109375" customWidth="1"/>
    <col min="9" max="9" width="20.28515625" bestFit="1" customWidth="1"/>
    <col min="10" max="10" width="18.42578125" bestFit="1" customWidth="1"/>
    <col min="11" max="11" width="19.7109375" bestFit="1" customWidth="1"/>
    <col min="12" max="12" width="16.28515625" bestFit="1" customWidth="1"/>
    <col min="13" max="13" width="10.7109375" bestFit="1" customWidth="1"/>
    <col min="14" max="14" width="26.85546875" bestFit="1" customWidth="1"/>
    <col min="15" max="15" width="20.140625" bestFit="1" customWidth="1"/>
    <col min="16" max="16" width="20.7109375" customWidth="1"/>
    <col min="17" max="17" width="24.42578125" bestFit="1" customWidth="1"/>
    <col min="18" max="19" width="22.85546875" bestFit="1" customWidth="1"/>
    <col min="20" max="20" width="19.28515625" bestFit="1" customWidth="1"/>
    <col min="21" max="21" width="21.7109375" bestFit="1" customWidth="1"/>
    <col min="22" max="22" width="36.5703125" customWidth="1"/>
    <col min="23" max="23" width="13.7109375" customWidth="1"/>
  </cols>
  <sheetData>
    <row r="1" spans="1:23" ht="18.75" x14ac:dyDescent="0.3">
      <c r="A1" s="19" t="s">
        <v>0</v>
      </c>
    </row>
    <row r="2" spans="1:23" ht="30" x14ac:dyDescent="0.25">
      <c r="A2" s="16" t="s">
        <v>1</v>
      </c>
      <c r="D2" s="24"/>
      <c r="E2" s="24"/>
      <c r="F2" s="24"/>
      <c r="G2" s="24"/>
    </row>
    <row r="3" spans="1:23" x14ac:dyDescent="0.25">
      <c r="A3" s="111" t="s">
        <v>2</v>
      </c>
      <c r="B3" s="101" t="s">
        <v>3</v>
      </c>
      <c r="D3" s="25"/>
      <c r="E3" s="25"/>
      <c r="F3" s="25"/>
      <c r="G3" s="25"/>
    </row>
    <row r="4" spans="1:23" x14ac:dyDescent="0.25">
      <c r="A4" s="60" t="s">
        <v>4</v>
      </c>
      <c r="B4" s="10"/>
    </row>
    <row r="5" spans="1:23" x14ac:dyDescent="0.25">
      <c r="A5" s="17" t="s">
        <v>5</v>
      </c>
      <c r="B5" s="9"/>
      <c r="D5" s="26"/>
      <c r="E5" s="26"/>
      <c r="F5" s="26"/>
      <c r="G5" s="26"/>
    </row>
    <row r="6" spans="1:23" x14ac:dyDescent="0.25">
      <c r="A6" s="18"/>
      <c r="B6" s="9"/>
    </row>
    <row r="7" spans="1:23" ht="14.45" customHeight="1" x14ac:dyDescent="0.25">
      <c r="A7" s="18"/>
      <c r="B7" s="9"/>
    </row>
    <row r="8" spans="1:23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0" t="s">
        <v>15</v>
      </c>
      <c r="K8" s="11" t="s">
        <v>16</v>
      </c>
      <c r="L8" s="2" t="s">
        <v>17</v>
      </c>
      <c r="M8" s="2" t="s">
        <v>18</v>
      </c>
      <c r="N8" s="2" t="s">
        <v>19</v>
      </c>
      <c r="O8" s="2" t="s">
        <v>20</v>
      </c>
      <c r="P8" s="2" t="s">
        <v>21</v>
      </c>
      <c r="Q8" s="2" t="s">
        <v>22</v>
      </c>
      <c r="R8" s="2" t="s">
        <v>23</v>
      </c>
      <c r="S8" s="2" t="s">
        <v>24</v>
      </c>
      <c r="T8" s="2" t="s">
        <v>25</v>
      </c>
      <c r="U8" s="2" t="s">
        <v>26</v>
      </c>
      <c r="V8" s="90" t="s">
        <v>27</v>
      </c>
      <c r="W8" s="91" t="s">
        <v>28</v>
      </c>
    </row>
    <row r="9" spans="1:23" x14ac:dyDescent="0.25">
      <c r="A9" s="3" t="s">
        <v>29</v>
      </c>
      <c r="B9" s="4">
        <v>45468</v>
      </c>
      <c r="C9" s="4">
        <v>45481</v>
      </c>
      <c r="D9" s="13">
        <f>C9-B9</f>
        <v>13</v>
      </c>
      <c r="E9" s="118">
        <v>0</v>
      </c>
      <c r="F9" s="118">
        <v>16834</v>
      </c>
      <c r="G9" s="117">
        <f>IFERROR(I9/((F9-E9)*100),"")</f>
        <v>2.1117975525721754E-3</v>
      </c>
      <c r="H9" s="23" t="s">
        <v>30</v>
      </c>
      <c r="I9" s="5">
        <v>3555</v>
      </c>
      <c r="J9" s="21" t="s">
        <v>31</v>
      </c>
      <c r="K9" s="15">
        <v>64.430000000000007</v>
      </c>
      <c r="L9" s="14">
        <v>825.91</v>
      </c>
      <c r="M9" s="14">
        <v>1101.3499999999999</v>
      </c>
      <c r="N9" s="14">
        <v>79.11</v>
      </c>
      <c r="O9" s="14">
        <v>53.83</v>
      </c>
      <c r="P9" s="14">
        <v>166.47</v>
      </c>
      <c r="Q9" s="14">
        <v>542.14</v>
      </c>
      <c r="R9" s="14">
        <v>148.80000000000001</v>
      </c>
      <c r="S9" s="14">
        <v>213.55</v>
      </c>
      <c r="T9" s="14">
        <v>-64.900000000000006</v>
      </c>
      <c r="U9" s="6">
        <v>-1304.25</v>
      </c>
      <c r="V9" s="12">
        <f t="shared" ref="V9:V14" si="0">SUM(K9:T9)</f>
        <v>3130.6899999999996</v>
      </c>
      <c r="W9" s="27">
        <f t="shared" ref="W9:W14" si="1">V9/I9</f>
        <v>0.8806441631504921</v>
      </c>
    </row>
    <row r="10" spans="1:23" x14ac:dyDescent="0.25">
      <c r="A10" s="3" t="s">
        <v>32</v>
      </c>
      <c r="B10" s="4">
        <v>45482</v>
      </c>
      <c r="C10" s="4">
        <v>45510</v>
      </c>
      <c r="D10" s="13">
        <f t="shared" ref="D10:D13" si="2">C10-B10</f>
        <v>28</v>
      </c>
      <c r="E10" s="118"/>
      <c r="F10" s="118"/>
      <c r="G10" s="117" t="str">
        <f t="shared" ref="G10:G32" si="3">IFERROR(I10/((F10-E10)*100),"")</f>
        <v/>
      </c>
      <c r="H10" s="5">
        <v>10000</v>
      </c>
      <c r="I10" s="5">
        <v>7935</v>
      </c>
      <c r="J10" s="22" t="s">
        <v>33</v>
      </c>
      <c r="K10" s="15">
        <v>138.07</v>
      </c>
      <c r="L10" s="14">
        <v>4129.54</v>
      </c>
      <c r="M10" s="14">
        <v>0</v>
      </c>
      <c r="N10" s="14">
        <v>177.14</v>
      </c>
      <c r="O10" s="14">
        <v>122.52</v>
      </c>
      <c r="P10" s="14">
        <v>387.43</v>
      </c>
      <c r="Q10" s="14">
        <v>1210.0899999999999</v>
      </c>
      <c r="R10" s="14">
        <v>833.91</v>
      </c>
      <c r="S10" s="14">
        <v>0</v>
      </c>
      <c r="T10" s="14">
        <v>-152.47999999999999</v>
      </c>
      <c r="U10" s="6">
        <v>-2940.95</v>
      </c>
      <c r="V10" s="12">
        <f t="shared" si="0"/>
        <v>6846.2200000000012</v>
      </c>
      <c r="W10" s="27">
        <f t="shared" si="1"/>
        <v>0.86278764965343435</v>
      </c>
    </row>
    <row r="11" spans="1:23" x14ac:dyDescent="0.25">
      <c r="A11" s="3" t="s">
        <v>32</v>
      </c>
      <c r="B11" s="4">
        <v>45511</v>
      </c>
      <c r="C11" s="4">
        <v>45543</v>
      </c>
      <c r="D11" s="13">
        <f t="shared" si="2"/>
        <v>32</v>
      </c>
      <c r="E11" s="118"/>
      <c r="F11" s="118"/>
      <c r="G11" s="117" t="str">
        <f t="shared" si="3"/>
        <v/>
      </c>
      <c r="H11" s="5">
        <v>10000</v>
      </c>
      <c r="I11" s="5">
        <v>18416</v>
      </c>
      <c r="J11" s="22" t="s">
        <v>33</v>
      </c>
      <c r="K11" s="15">
        <v>138.07</v>
      </c>
      <c r="L11" s="14">
        <v>4129.54</v>
      </c>
      <c r="M11" s="14">
        <v>0</v>
      </c>
      <c r="N11" s="14">
        <v>411.13</v>
      </c>
      <c r="O11" s="14">
        <v>284.36</v>
      </c>
      <c r="P11" s="14">
        <v>899.18</v>
      </c>
      <c r="Q11" s="14">
        <v>2808.44</v>
      </c>
      <c r="R11" s="14">
        <v>1935.39</v>
      </c>
      <c r="S11" s="14">
        <v>0</v>
      </c>
      <c r="T11" s="14">
        <v>-353.88</v>
      </c>
      <c r="U11" s="6">
        <v>-6560.02</v>
      </c>
      <c r="V11" s="12">
        <f t="shared" si="0"/>
        <v>10252.23</v>
      </c>
      <c r="W11" s="27">
        <f t="shared" si="1"/>
        <v>0.55670232406602949</v>
      </c>
    </row>
    <row r="12" spans="1:23" x14ac:dyDescent="0.25">
      <c r="A12" s="3" t="s">
        <v>34</v>
      </c>
      <c r="B12" s="4">
        <v>45544</v>
      </c>
      <c r="C12" s="4">
        <v>45569</v>
      </c>
      <c r="D12" s="13">
        <f t="shared" si="2"/>
        <v>25</v>
      </c>
      <c r="E12" s="118"/>
      <c r="F12" s="118"/>
      <c r="G12" s="117" t="str">
        <f t="shared" si="3"/>
        <v/>
      </c>
      <c r="H12" s="5" t="s">
        <v>35</v>
      </c>
      <c r="I12" s="5">
        <v>17781</v>
      </c>
      <c r="J12" s="22" t="s">
        <v>36</v>
      </c>
      <c r="K12" s="15">
        <v>138.07</v>
      </c>
      <c r="L12" s="14">
        <v>3494.42</v>
      </c>
      <c r="M12" s="14">
        <v>635.12</v>
      </c>
      <c r="N12" s="14">
        <v>396.79</v>
      </c>
      <c r="O12" s="14">
        <v>271.32</v>
      </c>
      <c r="P12" s="14">
        <v>864.35</v>
      </c>
      <c r="Q12" s="14">
        <v>2711.6</v>
      </c>
      <c r="R12" s="14">
        <v>1581.12</v>
      </c>
      <c r="S12" s="14">
        <v>277</v>
      </c>
      <c r="T12" s="14">
        <v>-356.87</v>
      </c>
      <c r="U12" s="6">
        <v>-6309.17</v>
      </c>
      <c r="V12" s="12">
        <f t="shared" si="0"/>
        <v>10012.92</v>
      </c>
      <c r="W12" s="27">
        <f t="shared" si="1"/>
        <v>0.56312468365108825</v>
      </c>
    </row>
    <row r="13" spans="1:23" x14ac:dyDescent="0.25">
      <c r="A13" s="3" t="s">
        <v>37</v>
      </c>
      <c r="B13" s="4">
        <v>45570</v>
      </c>
      <c r="C13" s="4">
        <v>45601</v>
      </c>
      <c r="D13" s="13">
        <f t="shared" si="2"/>
        <v>31</v>
      </c>
      <c r="E13" s="116">
        <v>16834</v>
      </c>
      <c r="F13" s="116">
        <v>26549</v>
      </c>
      <c r="G13" s="117">
        <f t="shared" si="3"/>
        <v>2.8328358208955223E-2</v>
      </c>
      <c r="H13" s="5" t="s">
        <v>38</v>
      </c>
      <c r="I13" s="5">
        <v>27521</v>
      </c>
      <c r="J13" s="22" t="s">
        <v>33</v>
      </c>
      <c r="K13" s="15">
        <v>138.07</v>
      </c>
      <c r="L13" s="14">
        <v>3484.51</v>
      </c>
      <c r="M13" s="14">
        <v>645.45000000000005</v>
      </c>
      <c r="N13" s="14">
        <v>612.76</v>
      </c>
      <c r="O13" s="14">
        <v>392.42</v>
      </c>
      <c r="P13" s="14">
        <v>1305.27</v>
      </c>
      <c r="Q13" s="14">
        <v>4196.95</v>
      </c>
      <c r="R13" s="14">
        <v>2786.3</v>
      </c>
      <c r="S13" s="14">
        <v>0</v>
      </c>
      <c r="T13" s="14">
        <v>-681.51</v>
      </c>
      <c r="U13" s="6">
        <v>0</v>
      </c>
      <c r="V13" s="12">
        <f t="shared" si="0"/>
        <v>12880.22</v>
      </c>
      <c r="W13" s="27">
        <f t="shared" si="1"/>
        <v>0.46801424366847133</v>
      </c>
    </row>
    <row r="14" spans="1:23" x14ac:dyDescent="0.25">
      <c r="A14" s="3" t="s">
        <v>37</v>
      </c>
      <c r="B14" s="4">
        <v>45602</v>
      </c>
      <c r="C14" s="4">
        <v>45632</v>
      </c>
      <c r="D14" s="13">
        <f>C14-B14</f>
        <v>30</v>
      </c>
      <c r="E14" s="116">
        <v>26549</v>
      </c>
      <c r="F14" s="116">
        <v>41643</v>
      </c>
      <c r="G14" s="117">
        <f t="shared" si="3"/>
        <v>2.8327812375778454E-2</v>
      </c>
      <c r="H14" s="5">
        <v>10000</v>
      </c>
      <c r="I14" s="5">
        <v>42758</v>
      </c>
      <c r="J14" s="5" t="s">
        <v>33</v>
      </c>
      <c r="K14" s="15">
        <v>138.07</v>
      </c>
      <c r="L14" s="14">
        <v>4129.54</v>
      </c>
      <c r="M14" s="14">
        <v>0</v>
      </c>
      <c r="N14" s="14">
        <v>952</v>
      </c>
      <c r="O14" s="14">
        <v>609.69000000000005</v>
      </c>
      <c r="P14" s="14">
        <v>2027.93</v>
      </c>
      <c r="Q14" s="14">
        <v>6520.6</v>
      </c>
      <c r="R14" s="14">
        <v>4328.95</v>
      </c>
      <c r="S14" s="14">
        <v>0</v>
      </c>
      <c r="T14" s="14">
        <v>-1058.82</v>
      </c>
      <c r="U14" s="6">
        <v>0</v>
      </c>
      <c r="V14" s="12">
        <f t="shared" si="0"/>
        <v>17647.96</v>
      </c>
      <c r="W14" s="27">
        <f t="shared" si="1"/>
        <v>0.41274053978202907</v>
      </c>
    </row>
    <row r="15" spans="1:23" s="129" customFormat="1" x14ac:dyDescent="0.25">
      <c r="A15" s="120" t="s">
        <v>39</v>
      </c>
      <c r="B15" s="121"/>
      <c r="C15" s="121"/>
      <c r="D15" s="122"/>
      <c r="E15" s="123"/>
      <c r="F15" s="123"/>
      <c r="G15" s="124"/>
      <c r="H15" s="125"/>
      <c r="I15" s="125"/>
      <c r="J15" s="125"/>
      <c r="K15" s="126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6"/>
      <c r="W15" s="128"/>
    </row>
    <row r="16" spans="1:23" x14ac:dyDescent="0.25">
      <c r="A16" s="3" t="s">
        <v>40</v>
      </c>
      <c r="B16" s="4">
        <v>45666</v>
      </c>
      <c r="C16" s="4">
        <v>45693</v>
      </c>
      <c r="D16" s="13">
        <f t="shared" ref="D16:D22" si="4">C16-B16</f>
        <v>27</v>
      </c>
      <c r="E16" s="119">
        <v>51181</v>
      </c>
      <c r="F16" s="119">
        <v>51181</v>
      </c>
      <c r="G16" s="117" t="str">
        <f t="shared" si="3"/>
        <v/>
      </c>
      <c r="H16" s="5">
        <v>10000</v>
      </c>
      <c r="I16" s="5">
        <v>26569</v>
      </c>
      <c r="J16" s="5" t="s">
        <v>33</v>
      </c>
      <c r="K16" s="15">
        <v>143.08000000000001</v>
      </c>
      <c r="L16" s="14">
        <v>4245.76</v>
      </c>
      <c r="M16" s="14">
        <v>0</v>
      </c>
      <c r="N16" s="14">
        <v>208.67</v>
      </c>
      <c r="O16" s="14">
        <v>496.65</v>
      </c>
      <c r="P16" s="14">
        <v>1498.36</v>
      </c>
      <c r="Q16" s="14">
        <v>4051.77</v>
      </c>
      <c r="R16" s="14">
        <v>2456.94</v>
      </c>
      <c r="S16" s="14">
        <v>0</v>
      </c>
      <c r="T16" s="14">
        <v>-534.96</v>
      </c>
      <c r="U16" s="6">
        <v>0</v>
      </c>
      <c r="V16" s="12">
        <f t="shared" ref="V16:V24" si="5">SUM(K16:T16)</f>
        <v>12566.27</v>
      </c>
      <c r="W16" s="27">
        <f t="shared" ref="W16:W22" si="6">V16/I16</f>
        <v>0.47296736798524597</v>
      </c>
    </row>
    <row r="17" spans="1:23" x14ac:dyDescent="0.25">
      <c r="A17" s="3" t="s">
        <v>40</v>
      </c>
      <c r="B17" s="4">
        <v>46059</v>
      </c>
      <c r="C17" s="4">
        <v>46087</v>
      </c>
      <c r="D17" s="13">
        <f t="shared" si="4"/>
        <v>28</v>
      </c>
      <c r="E17" s="119">
        <v>51181</v>
      </c>
      <c r="F17" s="119">
        <v>51181</v>
      </c>
      <c r="G17" s="117" t="str">
        <f t="shared" si="3"/>
        <v/>
      </c>
      <c r="H17" s="5">
        <v>10000</v>
      </c>
      <c r="I17" s="5">
        <v>19597</v>
      </c>
      <c r="J17" s="5" t="s">
        <v>33</v>
      </c>
      <c r="K17" s="15">
        <v>143.08000000000001</v>
      </c>
      <c r="L17" s="14">
        <v>4245.76</v>
      </c>
      <c r="M17" s="14">
        <v>0</v>
      </c>
      <c r="N17" s="14">
        <v>153.91</v>
      </c>
      <c r="O17" s="14">
        <v>366.33</v>
      </c>
      <c r="P17" s="14">
        <v>1105.17</v>
      </c>
      <c r="Q17" s="14">
        <v>2988.54</v>
      </c>
      <c r="R17" s="14">
        <v>1812.21</v>
      </c>
      <c r="S17" s="14">
        <v>0</v>
      </c>
      <c r="T17" s="14">
        <v>-394.58</v>
      </c>
      <c r="U17" s="6">
        <v>0</v>
      </c>
      <c r="V17" s="12">
        <f t="shared" si="5"/>
        <v>10420.42</v>
      </c>
      <c r="W17" s="27">
        <f t="shared" si="6"/>
        <v>0.53173546971475227</v>
      </c>
    </row>
    <row r="18" spans="1:23" x14ac:dyDescent="0.25">
      <c r="A18" s="3" t="s">
        <v>41</v>
      </c>
      <c r="B18" s="4">
        <v>45723</v>
      </c>
      <c r="C18" s="4">
        <v>45749</v>
      </c>
      <c r="D18" s="13">
        <f t="shared" si="4"/>
        <v>26</v>
      </c>
      <c r="E18" s="116">
        <v>51181</v>
      </c>
      <c r="F18" s="116">
        <v>74695</v>
      </c>
      <c r="G18" s="117">
        <f t="shared" si="3"/>
        <v>8.694394828612742E-3</v>
      </c>
      <c r="H18" s="5" t="s">
        <v>42</v>
      </c>
      <c r="I18" s="5">
        <v>20444</v>
      </c>
      <c r="J18" s="5" t="s">
        <v>43</v>
      </c>
      <c r="K18" s="15">
        <v>143.08000000000001</v>
      </c>
      <c r="L18" s="14">
        <v>3931.15</v>
      </c>
      <c r="M18" s="14">
        <v>314.61</v>
      </c>
      <c r="N18" s="14">
        <v>161.43</v>
      </c>
      <c r="O18" s="14">
        <v>395.14</v>
      </c>
      <c r="P18" s="14">
        <v>1180.58</v>
      </c>
      <c r="Q18" s="14">
        <v>2877.83</v>
      </c>
      <c r="R18" s="14">
        <v>1745.08</v>
      </c>
      <c r="S18" s="14">
        <v>170.4</v>
      </c>
      <c r="T18" s="14">
        <v>-387.47</v>
      </c>
      <c r="U18" s="6">
        <v>0</v>
      </c>
      <c r="V18" s="12">
        <f t="shared" si="5"/>
        <v>10531.83</v>
      </c>
      <c r="W18" s="27">
        <f t="shared" si="6"/>
        <v>0.515155057718646</v>
      </c>
    </row>
    <row r="19" spans="1:23" x14ac:dyDescent="0.25">
      <c r="A19" s="3" t="s">
        <v>44</v>
      </c>
      <c r="B19" s="4">
        <v>45750</v>
      </c>
      <c r="C19" s="4">
        <v>45784</v>
      </c>
      <c r="D19" s="13">
        <f t="shared" si="4"/>
        <v>34</v>
      </c>
      <c r="E19" s="116">
        <v>74695</v>
      </c>
      <c r="F19" s="116">
        <v>89060</v>
      </c>
      <c r="G19" s="117">
        <f t="shared" si="3"/>
        <v>2.8327880264531848E-2</v>
      </c>
      <c r="H19" s="5">
        <v>10000</v>
      </c>
      <c r="I19" s="5">
        <v>40693</v>
      </c>
      <c r="J19" s="5" t="s">
        <v>33</v>
      </c>
      <c r="K19" s="15">
        <v>143.08000000000001</v>
      </c>
      <c r="L19" s="14">
        <v>4245.76</v>
      </c>
      <c r="M19" s="14">
        <v>0</v>
      </c>
      <c r="N19" s="14">
        <v>341.82</v>
      </c>
      <c r="O19" s="14">
        <v>1096.47</v>
      </c>
      <c r="P19" s="14">
        <v>3009.86</v>
      </c>
      <c r="Q19" s="70"/>
      <c r="R19" s="14">
        <v>4408.2700000000004</v>
      </c>
      <c r="S19" s="14">
        <v>0</v>
      </c>
      <c r="T19" s="14">
        <v>-194.06</v>
      </c>
      <c r="U19" s="6">
        <v>0</v>
      </c>
      <c r="V19" s="12">
        <f t="shared" si="5"/>
        <v>13051.2</v>
      </c>
      <c r="W19" s="27">
        <f t="shared" si="6"/>
        <v>0.32072346595237511</v>
      </c>
    </row>
    <row r="20" spans="1:23" x14ac:dyDescent="0.25">
      <c r="A20" s="3" t="s">
        <v>44</v>
      </c>
      <c r="B20" s="4">
        <v>45785</v>
      </c>
      <c r="C20" s="4">
        <v>45812</v>
      </c>
      <c r="D20" s="13">
        <f t="shared" si="4"/>
        <v>27</v>
      </c>
      <c r="E20" s="116">
        <v>89060</v>
      </c>
      <c r="F20" s="116">
        <v>99952</v>
      </c>
      <c r="G20" s="117">
        <f t="shared" si="3"/>
        <v>2.8328130738156446E-2</v>
      </c>
      <c r="H20" s="5">
        <v>10000</v>
      </c>
      <c r="I20" s="5">
        <v>30855</v>
      </c>
      <c r="J20" s="5" t="s">
        <v>33</v>
      </c>
      <c r="K20" s="15">
        <v>143.08000000000001</v>
      </c>
      <c r="L20" s="14">
        <v>4245.76</v>
      </c>
      <c r="M20" s="14"/>
      <c r="N20" s="14">
        <v>259.19</v>
      </c>
      <c r="O20" s="14">
        <v>831.39</v>
      </c>
      <c r="P20" s="14">
        <v>2282.19</v>
      </c>
      <c r="Q20" s="70"/>
      <c r="R20" s="14">
        <v>3342.52</v>
      </c>
      <c r="S20" s="14"/>
      <c r="T20" s="14">
        <v>-147.15</v>
      </c>
      <c r="U20" s="6"/>
      <c r="V20" s="12">
        <f t="shared" si="5"/>
        <v>10956.980000000001</v>
      </c>
      <c r="W20" s="27">
        <f t="shared" si="6"/>
        <v>0.3551119753686599</v>
      </c>
    </row>
    <row r="21" spans="1:23" x14ac:dyDescent="0.25">
      <c r="A21" s="3" t="s">
        <v>45</v>
      </c>
      <c r="B21" s="4">
        <v>45813</v>
      </c>
      <c r="C21" s="4">
        <v>45845</v>
      </c>
      <c r="D21" s="13">
        <f t="shared" si="4"/>
        <v>32</v>
      </c>
      <c r="E21" s="116">
        <v>99952</v>
      </c>
      <c r="F21" s="116">
        <v>117156</v>
      </c>
      <c r="G21" s="117">
        <f t="shared" si="3"/>
        <v>2.8327714485003489E-2</v>
      </c>
      <c r="H21" s="5" t="s">
        <v>46</v>
      </c>
      <c r="I21" s="5">
        <v>48735</v>
      </c>
      <c r="J21" s="5" t="s">
        <v>47</v>
      </c>
      <c r="K21" s="15">
        <v>143.08000000000001</v>
      </c>
      <c r="L21" s="14">
        <v>3345.23</v>
      </c>
      <c r="M21" s="14">
        <v>900.53</v>
      </c>
      <c r="N21" s="14">
        <v>408.32</v>
      </c>
      <c r="O21" s="14">
        <v>1248.26</v>
      </c>
      <c r="P21" s="14">
        <v>3440.39</v>
      </c>
      <c r="Q21" s="70"/>
      <c r="R21" s="14">
        <v>4159.55</v>
      </c>
      <c r="S21" s="14">
        <v>1350.27</v>
      </c>
      <c r="T21" s="14">
        <v>-413.15</v>
      </c>
      <c r="U21" s="6"/>
      <c r="V21" s="12">
        <f t="shared" si="5"/>
        <v>14582.480000000001</v>
      </c>
      <c r="W21" s="27">
        <f t="shared" si="6"/>
        <v>0.29921986252180161</v>
      </c>
    </row>
    <row r="22" spans="1:23" x14ac:dyDescent="0.25">
      <c r="A22" s="3" t="s">
        <v>48</v>
      </c>
      <c r="B22" s="4">
        <v>45846</v>
      </c>
      <c r="C22" s="4">
        <v>45876</v>
      </c>
      <c r="D22" s="13">
        <f t="shared" si="4"/>
        <v>30</v>
      </c>
      <c r="E22" s="116">
        <v>117156</v>
      </c>
      <c r="F22" s="116">
        <v>137626</v>
      </c>
      <c r="G22" s="117">
        <f t="shared" si="3"/>
        <v>2.832779677576942E-2</v>
      </c>
      <c r="H22" s="5">
        <v>10000</v>
      </c>
      <c r="I22" s="5">
        <v>57987</v>
      </c>
      <c r="J22" s="5" t="s">
        <v>33</v>
      </c>
      <c r="K22" s="15">
        <v>143.08000000000001</v>
      </c>
      <c r="L22" s="14">
        <v>4245.76</v>
      </c>
      <c r="M22" s="14"/>
      <c r="N22" s="14">
        <v>481.23</v>
      </c>
      <c r="O22" s="14">
        <v>1198.3599999999999</v>
      </c>
      <c r="P22" s="14">
        <v>3367.48</v>
      </c>
      <c r="Q22" s="70"/>
      <c r="R22" s="14">
        <v>7573.8</v>
      </c>
      <c r="S22" s="14"/>
      <c r="T22" s="14">
        <v>-1290.26</v>
      </c>
      <c r="U22" s="6"/>
      <c r="V22" s="12">
        <f t="shared" si="5"/>
        <v>15719.449999999999</v>
      </c>
      <c r="W22" s="27">
        <f t="shared" si="6"/>
        <v>0.27108576060151413</v>
      </c>
    </row>
    <row r="23" spans="1:23" x14ac:dyDescent="0.25">
      <c r="A23" s="3" t="s">
        <v>48</v>
      </c>
      <c r="B23" s="4">
        <v>45877</v>
      </c>
      <c r="C23" s="4">
        <v>45905</v>
      </c>
      <c r="D23" s="13">
        <f t="shared" ref="D23:D25" si="7">C23-B23</f>
        <v>28</v>
      </c>
      <c r="E23" s="116">
        <v>137626</v>
      </c>
      <c r="F23" s="116">
        <v>154271</v>
      </c>
      <c r="G23" s="117">
        <f t="shared" si="3"/>
        <v>2.8328026434364675E-2</v>
      </c>
      <c r="H23" s="5">
        <v>10000</v>
      </c>
      <c r="I23" s="5">
        <v>47152</v>
      </c>
      <c r="J23" s="5" t="s">
        <v>33</v>
      </c>
      <c r="K23" s="15">
        <v>143.08000000000001</v>
      </c>
      <c r="L23" s="14">
        <v>4245.76</v>
      </c>
      <c r="M23" s="14"/>
      <c r="N23" s="14">
        <v>391.32</v>
      </c>
      <c r="O23" s="14">
        <v>974.44</v>
      </c>
      <c r="P23" s="14">
        <v>2738.26</v>
      </c>
      <c r="Q23" s="70"/>
      <c r="R23" s="14">
        <v>6158.62</v>
      </c>
      <c r="S23" s="14"/>
      <c r="T23" s="14">
        <v>-1049.18</v>
      </c>
      <c r="U23" s="6"/>
      <c r="V23" s="12">
        <f t="shared" si="5"/>
        <v>13602.3</v>
      </c>
      <c r="W23" s="27">
        <f t="shared" ref="W23:W24" si="8">V23/I23</f>
        <v>0.28847768917543265</v>
      </c>
    </row>
    <row r="24" spans="1:23" x14ac:dyDescent="0.25">
      <c r="A24" s="3" t="s">
        <v>49</v>
      </c>
      <c r="B24" s="4">
        <v>45906</v>
      </c>
      <c r="C24" s="4">
        <v>45937</v>
      </c>
      <c r="D24" s="13">
        <f t="shared" si="7"/>
        <v>31</v>
      </c>
      <c r="E24" s="116">
        <v>154271</v>
      </c>
      <c r="F24" s="116">
        <v>172694</v>
      </c>
      <c r="G24" s="117">
        <f t="shared" si="3"/>
        <v>2.8328176735602235E-2</v>
      </c>
      <c r="H24" s="5" t="s">
        <v>50</v>
      </c>
      <c r="I24" s="5">
        <v>52189</v>
      </c>
      <c r="J24" s="5" t="s">
        <v>51</v>
      </c>
      <c r="K24" s="15">
        <v>143.08000000000001</v>
      </c>
      <c r="L24" s="14">
        <v>3317.21</v>
      </c>
      <c r="M24" s="14">
        <v>928.97</v>
      </c>
      <c r="N24" s="14">
        <v>431.1</v>
      </c>
      <c r="O24" s="14">
        <v>1054.1500000000001</v>
      </c>
      <c r="P24" s="14">
        <v>2967.07</v>
      </c>
      <c r="Q24" s="70"/>
      <c r="R24" s="14">
        <v>5325.31</v>
      </c>
      <c r="S24" s="14">
        <v>1404.38</v>
      </c>
      <c r="T24" s="14">
        <v>-1161.22</v>
      </c>
      <c r="U24" s="6"/>
      <c r="V24" s="12">
        <f t="shared" si="5"/>
        <v>14410.050000000001</v>
      </c>
      <c r="W24" s="27">
        <f t="shared" si="8"/>
        <v>0.27611278238709308</v>
      </c>
    </row>
    <row r="25" spans="1:23" x14ac:dyDescent="0.25">
      <c r="A25" s="3" t="s">
        <v>52</v>
      </c>
      <c r="B25" s="4">
        <v>45938</v>
      </c>
      <c r="C25" s="4">
        <v>45967</v>
      </c>
      <c r="D25" s="13">
        <f t="shared" si="7"/>
        <v>29</v>
      </c>
      <c r="E25" s="116">
        <v>172694</v>
      </c>
      <c r="F25" s="116">
        <v>198074</v>
      </c>
      <c r="G25" s="117">
        <f t="shared" si="3"/>
        <v>2.8327817178881009E-2</v>
      </c>
      <c r="H25" s="5" t="s">
        <v>53</v>
      </c>
      <c r="I25" s="5">
        <v>71896</v>
      </c>
      <c r="J25" s="5" t="s">
        <v>33</v>
      </c>
      <c r="K25" s="15">
        <v>143.08000000000001</v>
      </c>
      <c r="L25" s="14">
        <v>3396.61</v>
      </c>
      <c r="M25" s="14">
        <v>849.15</v>
      </c>
      <c r="N25" s="14">
        <v>584.01</v>
      </c>
      <c r="O25" s="14">
        <v>1332.23</v>
      </c>
      <c r="P25" s="14">
        <v>3774.11</v>
      </c>
      <c r="Q25" s="70"/>
      <c r="R25" s="14">
        <v>8843.7800000000007</v>
      </c>
      <c r="S25" s="14"/>
      <c r="T25" s="14">
        <v>-1599.55</v>
      </c>
      <c r="U25" s="6"/>
      <c r="V25" s="12">
        <f t="shared" ref="V25" si="9">SUM(K25:T25)</f>
        <v>17323.420000000002</v>
      </c>
      <c r="W25" s="27">
        <f t="shared" ref="W25" si="10">V25/I25</f>
        <v>0.24095109602759543</v>
      </c>
    </row>
    <row r="26" spans="1:23" x14ac:dyDescent="0.25">
      <c r="A26" s="3" t="s">
        <v>52</v>
      </c>
      <c r="B26" s="4">
        <v>45969</v>
      </c>
      <c r="C26" s="4">
        <v>45997</v>
      </c>
      <c r="D26" s="13">
        <f t="shared" ref="D26:D27" si="11">C26-B26</f>
        <v>28</v>
      </c>
      <c r="E26" s="116">
        <v>198074</v>
      </c>
      <c r="F26" s="116">
        <v>226787</v>
      </c>
      <c r="G26" s="117">
        <f t="shared" si="3"/>
        <v>2.8327935081670322E-2</v>
      </c>
      <c r="H26" s="5">
        <v>10000</v>
      </c>
      <c r="I26" s="5">
        <v>81338</v>
      </c>
      <c r="J26" s="5" t="s">
        <v>33</v>
      </c>
      <c r="K26" s="15">
        <v>143.08000000000001</v>
      </c>
      <c r="L26" s="14">
        <v>4245.76</v>
      </c>
      <c r="M26" s="14"/>
      <c r="N26" s="14">
        <v>660.7</v>
      </c>
      <c r="O26" s="14">
        <v>1507.19</v>
      </c>
      <c r="P26" s="14">
        <v>4269.76</v>
      </c>
      <c r="Q26" s="70"/>
      <c r="R26" s="14">
        <v>10005.219999999999</v>
      </c>
      <c r="S26" s="14"/>
      <c r="T26" s="14">
        <v>-1809.61</v>
      </c>
      <c r="U26" s="6"/>
      <c r="V26" s="12">
        <f t="shared" ref="V26" si="12">SUM(K26:T26)</f>
        <v>19022.099999999999</v>
      </c>
      <c r="W26" s="27">
        <f t="shared" ref="W26" si="13">V26/I26</f>
        <v>0.23386486021293859</v>
      </c>
    </row>
    <row r="27" spans="1:23" x14ac:dyDescent="0.25">
      <c r="A27" s="3" t="s">
        <v>54</v>
      </c>
      <c r="B27" s="4">
        <v>45998</v>
      </c>
      <c r="C27" s="4">
        <v>46028</v>
      </c>
      <c r="D27" s="13">
        <f t="shared" si="11"/>
        <v>30</v>
      </c>
      <c r="E27" s="116">
        <v>226787</v>
      </c>
      <c r="F27" s="116">
        <v>259569</v>
      </c>
      <c r="G27" s="117">
        <f t="shared" si="3"/>
        <v>2.8328045878835948E-2</v>
      </c>
      <c r="H27" s="5" t="s">
        <v>55</v>
      </c>
      <c r="I27" s="5">
        <v>92865</v>
      </c>
      <c r="J27" s="5" t="s">
        <v>56</v>
      </c>
      <c r="K27" s="15">
        <v>144.18</v>
      </c>
      <c r="L27" s="14">
        <v>3424.21</v>
      </c>
      <c r="M27" s="14">
        <v>851.66</v>
      </c>
      <c r="N27" s="14">
        <v>795.45</v>
      </c>
      <c r="O27" s="14">
        <v>1791.62</v>
      </c>
      <c r="P27" s="14">
        <v>4950.74</v>
      </c>
      <c r="Q27" s="70"/>
      <c r="R27" s="14">
        <v>9212.19</v>
      </c>
      <c r="S27" s="14">
        <v>2477.86</v>
      </c>
      <c r="T27" s="14">
        <v>-2130.29</v>
      </c>
      <c r="U27" s="6"/>
      <c r="V27" s="12">
        <f t="shared" ref="V27" si="14">SUM(K27:T27)</f>
        <v>21517.620000000003</v>
      </c>
      <c r="W27" s="115">
        <f t="shared" ref="W27" si="15">V27/I27</f>
        <v>0.2317086092715232</v>
      </c>
    </row>
    <row r="28" spans="1:23" x14ac:dyDescent="0.25">
      <c r="A28" s="3" t="s">
        <v>57</v>
      </c>
      <c r="B28" s="4">
        <v>46029</v>
      </c>
      <c r="C28" s="4">
        <v>46058</v>
      </c>
      <c r="D28" s="13">
        <f t="shared" ref="D28:D29" si="16">C28-B28</f>
        <v>29</v>
      </c>
      <c r="E28" s="119">
        <v>259569</v>
      </c>
      <c r="F28" s="119">
        <v>259569</v>
      </c>
      <c r="G28" s="117" t="str">
        <f t="shared" si="3"/>
        <v/>
      </c>
      <c r="H28" s="5">
        <v>10000</v>
      </c>
      <c r="I28" s="5">
        <v>33472</v>
      </c>
      <c r="J28" s="5" t="s">
        <v>33</v>
      </c>
      <c r="K28" s="15">
        <v>148.76</v>
      </c>
      <c r="L28" s="14">
        <v>4401.3599999999997</v>
      </c>
      <c r="M28" s="14"/>
      <c r="N28" s="14">
        <v>348.44</v>
      </c>
      <c r="O28" s="14">
        <v>752.15</v>
      </c>
      <c r="P28" s="14">
        <v>1898.4</v>
      </c>
      <c r="Q28" s="70"/>
      <c r="R28" s="14">
        <v>4614.38</v>
      </c>
      <c r="S28" s="14"/>
      <c r="T28" s="14">
        <v>-864.28</v>
      </c>
      <c r="U28" s="6"/>
      <c r="V28" s="114">
        <f t="shared" ref="V28:V29" si="17">SUM(K28:T28)</f>
        <v>11299.209999999997</v>
      </c>
      <c r="W28" s="115">
        <f>V28/I28</f>
        <v>0.33757200047801139</v>
      </c>
    </row>
    <row r="29" spans="1:23" x14ac:dyDescent="0.25">
      <c r="A29" s="3" t="s">
        <v>57</v>
      </c>
      <c r="B29" s="4">
        <v>46059</v>
      </c>
      <c r="C29" s="4">
        <v>46087</v>
      </c>
      <c r="D29" s="13">
        <f t="shared" si="16"/>
        <v>28</v>
      </c>
      <c r="E29" s="119">
        <v>259569</v>
      </c>
      <c r="F29" s="119">
        <v>259569</v>
      </c>
      <c r="G29" s="117" t="str">
        <f t="shared" si="3"/>
        <v/>
      </c>
      <c r="H29" s="5">
        <v>10000</v>
      </c>
      <c r="I29" s="5">
        <v>201814</v>
      </c>
      <c r="J29" s="5" t="s">
        <v>33</v>
      </c>
      <c r="K29" s="15">
        <v>148.76</v>
      </c>
      <c r="L29" s="14">
        <v>4401.3599999999997</v>
      </c>
      <c r="M29" s="14"/>
      <c r="N29" s="14">
        <v>2100.88</v>
      </c>
      <c r="O29" s="14">
        <v>4534.96</v>
      </c>
      <c r="P29" s="14">
        <v>11446.08</v>
      </c>
      <c r="Q29" s="70"/>
      <c r="R29" s="14">
        <v>27821.67</v>
      </c>
      <c r="S29" s="14"/>
      <c r="T29" s="14">
        <v>-5211.04</v>
      </c>
      <c r="U29" s="6"/>
      <c r="V29" s="114">
        <f t="shared" si="17"/>
        <v>45242.67</v>
      </c>
      <c r="W29" s="115">
        <f>V29/I29</f>
        <v>0.22418003706383105</v>
      </c>
    </row>
    <row r="30" spans="1:23" x14ac:dyDescent="0.25">
      <c r="A30" s="3"/>
      <c r="B30" s="4"/>
      <c r="C30" s="4"/>
      <c r="D30" s="13">
        <f t="shared" ref="D30:D32" si="18">C30-B30</f>
        <v>0</v>
      </c>
      <c r="E30" s="116"/>
      <c r="F30" s="116"/>
      <c r="G30" s="117" t="str">
        <f t="shared" si="3"/>
        <v/>
      </c>
      <c r="H30" s="5"/>
      <c r="I30" s="5"/>
      <c r="J30" s="5"/>
      <c r="K30" s="15"/>
      <c r="L30" s="14"/>
      <c r="M30" s="14"/>
      <c r="N30" s="14"/>
      <c r="O30" s="14"/>
      <c r="P30" s="14"/>
      <c r="Q30" s="70"/>
      <c r="R30" s="14"/>
      <c r="S30" s="14"/>
      <c r="T30" s="14"/>
      <c r="U30" s="6"/>
      <c r="V30" s="12"/>
      <c r="W30" s="27"/>
    </row>
    <row r="31" spans="1:23" x14ac:dyDescent="0.25">
      <c r="A31" s="3"/>
      <c r="B31" s="4"/>
      <c r="C31" s="4"/>
      <c r="D31" s="13">
        <f t="shared" si="18"/>
        <v>0</v>
      </c>
      <c r="E31" s="116"/>
      <c r="F31" s="116"/>
      <c r="G31" s="117" t="str">
        <f t="shared" si="3"/>
        <v/>
      </c>
      <c r="H31" s="5"/>
      <c r="I31" s="5"/>
      <c r="J31" s="5"/>
      <c r="K31" s="15"/>
      <c r="L31" s="14"/>
      <c r="M31" s="14"/>
      <c r="N31" s="14"/>
      <c r="O31" s="14"/>
      <c r="P31" s="14"/>
      <c r="Q31" s="70"/>
      <c r="R31" s="14"/>
      <c r="S31" s="14"/>
      <c r="T31" s="14"/>
      <c r="U31" s="6"/>
      <c r="V31" s="12"/>
      <c r="W31" s="27"/>
    </row>
    <row r="32" spans="1:23" x14ac:dyDescent="0.25">
      <c r="A32" s="3"/>
      <c r="B32" s="4"/>
      <c r="C32" s="4"/>
      <c r="D32" s="13">
        <f t="shared" si="18"/>
        <v>0</v>
      </c>
      <c r="E32" s="116"/>
      <c r="F32" s="116"/>
      <c r="G32" s="117" t="str">
        <f t="shared" si="3"/>
        <v/>
      </c>
      <c r="H32" s="5"/>
      <c r="I32" s="5"/>
      <c r="J32" s="5"/>
      <c r="K32" s="15"/>
      <c r="L32" s="14"/>
      <c r="M32" s="14"/>
      <c r="N32" s="14"/>
      <c r="O32" s="14"/>
      <c r="P32" s="14"/>
      <c r="Q32" s="70"/>
      <c r="R32" s="14"/>
      <c r="S32" s="14"/>
      <c r="T32" s="14"/>
      <c r="U32" s="6"/>
      <c r="V32" s="12"/>
      <c r="W32" s="27"/>
    </row>
    <row r="33" spans="1:23" x14ac:dyDescent="0.25">
      <c r="A33" s="28"/>
      <c r="B33" s="112"/>
      <c r="C33" s="112"/>
      <c r="D33" s="113"/>
      <c r="E33" s="113"/>
      <c r="F33" s="113"/>
      <c r="G33" s="113"/>
      <c r="H33" s="7"/>
      <c r="I33" s="7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x14ac:dyDescent="0.25">
      <c r="A34" s="28"/>
      <c r="B34" s="112"/>
      <c r="C34" s="112"/>
      <c r="D34" s="113"/>
      <c r="E34" s="113"/>
      <c r="F34" s="113"/>
      <c r="G34" s="113"/>
      <c r="H34" s="7"/>
      <c r="I34" s="7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x14ac:dyDescent="0.25">
      <c r="A35" s="28"/>
      <c r="B35" s="112"/>
      <c r="C35" s="112"/>
      <c r="D35" s="113"/>
      <c r="E35" s="113"/>
      <c r="F35" s="113"/>
      <c r="G35" s="113"/>
      <c r="H35" s="7"/>
      <c r="I35" s="7"/>
      <c r="J35" s="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x14ac:dyDescent="0.25">
      <c r="A36" s="28"/>
      <c r="B36" s="112"/>
      <c r="C36" s="112"/>
      <c r="D36" s="113"/>
      <c r="E36" s="113"/>
      <c r="F36" s="113"/>
      <c r="G36" s="113"/>
      <c r="H36" s="7"/>
      <c r="I36" s="7"/>
      <c r="J36" s="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x14ac:dyDescent="0.25">
      <c r="A37" s="28"/>
      <c r="B37" s="112"/>
      <c r="C37" s="112"/>
      <c r="D37" s="113"/>
      <c r="E37" s="113"/>
      <c r="F37" s="113"/>
      <c r="G37" s="113"/>
      <c r="H37" s="7"/>
      <c r="I37" s="7"/>
      <c r="J37" s="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>
        <f>MAX(W16:W28)</f>
        <v>0.53173546971475227</v>
      </c>
    </row>
    <row r="38" spans="1:23" x14ac:dyDescent="0.25">
      <c r="A38" s="28"/>
      <c r="B38" s="112"/>
      <c r="C38" s="112"/>
      <c r="D38" s="113"/>
      <c r="E38" s="113"/>
      <c r="F38" s="113"/>
      <c r="G38" s="113"/>
      <c r="H38" s="7"/>
      <c r="I38" s="7"/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>
        <f>MIN(W16:W28)</f>
        <v>0.2317086092715232</v>
      </c>
    </row>
    <row r="39" spans="1:23" ht="15.75" x14ac:dyDescent="0.25">
      <c r="A39" s="102" t="s">
        <v>58</v>
      </c>
      <c r="B39" s="80" t="s">
        <v>59</v>
      </c>
      <c r="C39" s="29" t="s">
        <v>60</v>
      </c>
      <c r="D39" s="30" t="s">
        <v>61</v>
      </c>
      <c r="E39" s="30" t="s">
        <v>62</v>
      </c>
      <c r="F39" s="71" t="s">
        <v>63</v>
      </c>
      <c r="G39" s="81" t="s">
        <v>64</v>
      </c>
      <c r="H39" s="92" t="s">
        <v>65</v>
      </c>
      <c r="I39" s="92" t="s">
        <v>66</v>
      </c>
      <c r="R39" s="8"/>
      <c r="S39" s="8"/>
      <c r="T39" s="8"/>
      <c r="U39" s="8"/>
    </row>
    <row r="40" spans="1:23" x14ac:dyDescent="0.25">
      <c r="A40" s="35" t="s">
        <v>67</v>
      </c>
      <c r="B40" s="48">
        <v>134.47</v>
      </c>
      <c r="C40" s="49">
        <v>138.07</v>
      </c>
      <c r="D40" s="50">
        <v>138.07</v>
      </c>
      <c r="E40" s="61">
        <v>143.08000000000001</v>
      </c>
      <c r="F40" s="72">
        <v>143.08000000000001</v>
      </c>
      <c r="G40" s="82">
        <v>143.08000000000001</v>
      </c>
      <c r="H40" s="93">
        <v>143.08000000000001</v>
      </c>
      <c r="I40" s="103">
        <v>148.76</v>
      </c>
      <c r="O40" s="1"/>
      <c r="P40" s="46"/>
      <c r="R40" s="8"/>
      <c r="S40" s="8"/>
      <c r="T40" s="8"/>
      <c r="U40" s="8"/>
    </row>
    <row r="41" spans="1:23" x14ac:dyDescent="0.25">
      <c r="A41" s="31"/>
      <c r="B41" s="32"/>
      <c r="C41" s="33"/>
      <c r="D41" s="34"/>
      <c r="E41" s="62"/>
      <c r="F41" s="73"/>
      <c r="G41" s="83"/>
      <c r="H41" s="94"/>
      <c r="I41" s="104"/>
      <c r="R41" s="8"/>
      <c r="S41" s="8"/>
      <c r="T41" s="8"/>
      <c r="U41" s="8"/>
    </row>
    <row r="42" spans="1:23" x14ac:dyDescent="0.25">
      <c r="A42" s="35" t="s">
        <v>68</v>
      </c>
      <c r="B42" s="36">
        <f>SUM(B43:B44)</f>
        <v>0.41295399999999999</v>
      </c>
      <c r="C42" s="37">
        <f>SUM(C43:C44)</f>
        <v>0.41295399999999999</v>
      </c>
      <c r="D42" s="38">
        <f>SUM(D43:D44)</f>
        <v>0.41295399999999999</v>
      </c>
      <c r="E42" s="63">
        <v>0.42457600000000001</v>
      </c>
      <c r="F42" s="74">
        <f>SUM(F43:F44)</f>
        <v>0.42457600000000001</v>
      </c>
      <c r="G42" s="84">
        <f>SUM(G43:G44)</f>
        <v>0.42457600000000001</v>
      </c>
      <c r="H42" s="95">
        <f>SUM(H43:H44)</f>
        <v>0.42457600000000001</v>
      </c>
      <c r="I42" s="105">
        <f>SUM(I43:I44)</f>
        <v>0.44013599999999997</v>
      </c>
      <c r="O42" s="69"/>
      <c r="Q42" s="8"/>
      <c r="R42" s="8"/>
      <c r="S42" s="8"/>
      <c r="T42" s="8"/>
      <c r="U42" s="8"/>
    </row>
    <row r="43" spans="1:23" x14ac:dyDescent="0.25">
      <c r="A43" s="31" t="s">
        <v>69</v>
      </c>
      <c r="B43" s="51">
        <v>0.40681099999999998</v>
      </c>
      <c r="C43" s="52">
        <v>0.40681099999999998</v>
      </c>
      <c r="D43" s="53">
        <v>0.40681099999999998</v>
      </c>
      <c r="E43" s="64">
        <v>0.42328100000000002</v>
      </c>
      <c r="F43" s="75">
        <v>0.42328100000000002</v>
      </c>
      <c r="G43" s="85">
        <v>0.42328100000000002</v>
      </c>
      <c r="H43" s="96">
        <v>0.42328100000000002</v>
      </c>
      <c r="I43" s="106">
        <v>0.44013599999999997</v>
      </c>
      <c r="M43" s="8"/>
      <c r="Q43" s="8"/>
      <c r="R43" s="8"/>
      <c r="S43" s="8"/>
      <c r="T43" s="8"/>
      <c r="U43" s="8"/>
    </row>
    <row r="44" spans="1:23" x14ac:dyDescent="0.25">
      <c r="A44" s="31" t="s">
        <v>70</v>
      </c>
      <c r="B44" s="51">
        <v>6.143E-3</v>
      </c>
      <c r="C44" s="52">
        <v>6.143E-3</v>
      </c>
      <c r="D44" s="53">
        <v>6.143E-3</v>
      </c>
      <c r="E44" s="64">
        <v>1.2949999999999999E-3</v>
      </c>
      <c r="F44" s="75">
        <v>1.2950000000000001E-3</v>
      </c>
      <c r="G44" s="85">
        <v>1.2950000000000001E-3</v>
      </c>
      <c r="H44" s="96">
        <v>1.2950000000000001E-3</v>
      </c>
      <c r="I44" s="106">
        <v>0</v>
      </c>
      <c r="M44" s="8"/>
      <c r="Q44" s="8"/>
      <c r="R44" s="8"/>
      <c r="S44" s="8"/>
      <c r="T44" s="8"/>
      <c r="U44" s="8"/>
    </row>
    <row r="45" spans="1:23" x14ac:dyDescent="0.25">
      <c r="A45" s="31"/>
      <c r="B45" s="36"/>
      <c r="C45" s="37"/>
      <c r="D45" s="38"/>
      <c r="E45" s="63"/>
      <c r="F45" s="74"/>
      <c r="G45" s="84"/>
      <c r="H45" s="95"/>
      <c r="I45" s="105"/>
      <c r="M45" s="8"/>
      <c r="O45" s="69"/>
      <c r="Q45" s="8"/>
      <c r="R45" s="8"/>
      <c r="S45" s="8"/>
      <c r="T45" s="8"/>
      <c r="U45" s="8"/>
    </row>
    <row r="46" spans="1:23" x14ac:dyDescent="0.25">
      <c r="A46" s="35" t="s">
        <v>71</v>
      </c>
      <c r="B46" s="36">
        <f>SUM(B47:B49)</f>
        <v>2.2325000000000001E-2</v>
      </c>
      <c r="C46" s="37">
        <f>SUM(C47:C49)</f>
        <v>2.2325000000000001E-2</v>
      </c>
      <c r="D46" s="38">
        <f>SUM(D47:D49)</f>
        <v>2.2265E-2</v>
      </c>
      <c r="E46" s="63">
        <v>7.8539999999999999E-3</v>
      </c>
      <c r="F46" s="74">
        <f>SUM(F47:F49)</f>
        <v>8.3999999999999995E-3</v>
      </c>
      <c r="G46" s="84">
        <f>SUM(G47:G49)</f>
        <v>8.2989999999999991E-3</v>
      </c>
      <c r="H46" s="95">
        <f>SUM(H47:H49)</f>
        <v>8.123E-3</v>
      </c>
      <c r="I46" s="105">
        <f>SUM(I47:I49)</f>
        <v>1.0409999999999999E-2</v>
      </c>
      <c r="M46" s="8"/>
      <c r="O46" s="69"/>
      <c r="Q46" s="8"/>
      <c r="R46" s="8"/>
      <c r="S46" s="8"/>
      <c r="T46" s="8"/>
      <c r="U46" s="8"/>
    </row>
    <row r="47" spans="1:23" x14ac:dyDescent="0.25">
      <c r="A47" s="31" t="s">
        <v>72</v>
      </c>
      <c r="B47" s="51">
        <v>1.1900000000000001E-2</v>
      </c>
      <c r="C47" s="52">
        <v>1.1900000000000001E-2</v>
      </c>
      <c r="D47" s="53">
        <v>1.184E-2</v>
      </c>
      <c r="E47" s="64">
        <v>7.6909999999999999E-3</v>
      </c>
      <c r="F47" s="75">
        <v>8.208E-3</v>
      </c>
      <c r="G47" s="85">
        <v>8.1560000000000001E-3</v>
      </c>
      <c r="H47" s="96">
        <v>7.980000000000001E-3</v>
      </c>
      <c r="I47" s="106">
        <v>1.0265E-2</v>
      </c>
      <c r="M47" s="8"/>
      <c r="O47" s="69"/>
      <c r="Q47" s="8"/>
      <c r="R47" s="8"/>
      <c r="S47" s="8"/>
      <c r="T47" s="8"/>
      <c r="U47" s="8"/>
    </row>
    <row r="48" spans="1:23" x14ac:dyDescent="0.25">
      <c r="A48" s="31" t="s">
        <v>73</v>
      </c>
      <c r="B48" s="51">
        <v>1.0281999999999999E-2</v>
      </c>
      <c r="C48" s="52">
        <v>1.0281999999999999E-2</v>
      </c>
      <c r="D48" s="53">
        <v>1.0281999999999999E-2</v>
      </c>
      <c r="E48" s="64">
        <v>2.0000000000000002E-5</v>
      </c>
      <c r="F48" s="75">
        <v>2.0000000000000002E-5</v>
      </c>
      <c r="G48" s="85">
        <v>2.0000000000000002E-5</v>
      </c>
      <c r="H48" s="96">
        <v>2.0000000000000002E-5</v>
      </c>
      <c r="I48" s="106">
        <v>0</v>
      </c>
      <c r="M48" s="8"/>
      <c r="Q48" s="8"/>
      <c r="R48" s="8"/>
      <c r="S48" s="8"/>
      <c r="T48" s="8"/>
      <c r="U48" s="8"/>
    </row>
    <row r="49" spans="1:21" x14ac:dyDescent="0.25">
      <c r="A49" s="31" t="s">
        <v>74</v>
      </c>
      <c r="B49" s="51">
        <v>1.4300000000000001E-4</v>
      </c>
      <c r="C49" s="52">
        <v>1.4300000000000001E-4</v>
      </c>
      <c r="D49" s="53">
        <v>1.4300000000000001E-4</v>
      </c>
      <c r="E49" s="64">
        <v>1.4300000000000001E-4</v>
      </c>
      <c r="F49" s="75">
        <v>1.7200000000000001E-4</v>
      </c>
      <c r="G49" s="85">
        <v>1.2300000000000001E-4</v>
      </c>
      <c r="H49" s="96">
        <v>1.2300000000000001E-4</v>
      </c>
      <c r="I49" s="106">
        <v>1.45E-4</v>
      </c>
      <c r="Q49" s="8"/>
      <c r="R49" s="8"/>
      <c r="S49" s="8"/>
      <c r="T49" s="8"/>
      <c r="U49" s="8"/>
    </row>
    <row r="50" spans="1:21" x14ac:dyDescent="0.25">
      <c r="A50" s="31"/>
      <c r="B50" s="36"/>
      <c r="C50" s="37"/>
      <c r="D50" s="38"/>
      <c r="E50" s="63"/>
      <c r="F50" s="74"/>
      <c r="G50" s="84"/>
      <c r="H50" s="95"/>
      <c r="I50" s="105"/>
      <c r="O50" s="1"/>
    </row>
    <row r="51" spans="1:21" x14ac:dyDescent="0.25">
      <c r="A51" s="35" t="s">
        <v>75</v>
      </c>
      <c r="B51" s="54">
        <v>1.4581999999999999E-2</v>
      </c>
      <c r="C51" s="55">
        <v>1.5441E-2</v>
      </c>
      <c r="D51" s="56">
        <v>1.4259000000000001E-2</v>
      </c>
      <c r="E51" s="65">
        <v>1.8693000000000001E-2</v>
      </c>
      <c r="F51" s="76">
        <v>2.6945E-2</v>
      </c>
      <c r="G51" s="86">
        <v>2.0666000000000004E-2</v>
      </c>
      <c r="H51" s="96">
        <f>1.853/100</f>
        <v>1.8530000000000001E-2</v>
      </c>
      <c r="I51" s="106">
        <v>2.2471000000000001E-2</v>
      </c>
    </row>
    <row r="52" spans="1:21" x14ac:dyDescent="0.25">
      <c r="A52" s="31"/>
      <c r="B52" s="47"/>
      <c r="C52" s="40"/>
      <c r="D52" s="41"/>
      <c r="E52" s="66"/>
      <c r="F52" s="77"/>
      <c r="G52" s="87"/>
      <c r="H52" s="97"/>
      <c r="I52" s="107"/>
      <c r="O52" s="1"/>
    </row>
    <row r="53" spans="1:21" x14ac:dyDescent="0.25">
      <c r="A53" s="35" t="s">
        <v>76</v>
      </c>
      <c r="B53" s="36">
        <f>SUM(B54:B55)</f>
        <v>9.7673999999999997E-2</v>
      </c>
      <c r="C53" s="37">
        <f>SUM(C54:C55)</f>
        <v>0.10509300000000001</v>
      </c>
      <c r="D53" s="38">
        <f>SUM(D54:D55)</f>
        <v>0.101243</v>
      </c>
      <c r="E53" s="63">
        <v>9.2474000000000001E-2</v>
      </c>
      <c r="F53" s="74">
        <f>SUM(F54:F55)</f>
        <v>0.10833</v>
      </c>
      <c r="G53" s="84">
        <f>SUM(G54:G55)</f>
        <v>0.13061200000000001</v>
      </c>
      <c r="H53" s="95">
        <f>SUM(H54:H55)</f>
        <v>0.12300800000000001</v>
      </c>
      <c r="I53" s="105">
        <f>SUM(I54:I55)</f>
        <v>0.13785800000000001</v>
      </c>
      <c r="O53" s="1"/>
    </row>
    <row r="54" spans="1:21" x14ac:dyDescent="0.25">
      <c r="A54" s="31" t="s">
        <v>77</v>
      </c>
      <c r="B54" s="51">
        <v>9.7645999999999997E-2</v>
      </c>
      <c r="C54" s="52">
        <v>0.10506500000000001</v>
      </c>
      <c r="D54" s="53">
        <v>0.101215</v>
      </c>
      <c r="E54" s="64">
        <v>9.2469999999999997E-2</v>
      </c>
      <c r="F54" s="75">
        <v>0.10832599999999999</v>
      </c>
      <c r="G54" s="85">
        <v>0.130608</v>
      </c>
      <c r="H54" s="96">
        <v>0.123004</v>
      </c>
      <c r="I54" s="106">
        <v>0.13785800000000001</v>
      </c>
    </row>
    <row r="55" spans="1:21" x14ac:dyDescent="0.25">
      <c r="A55" s="31" t="s">
        <v>78</v>
      </c>
      <c r="B55" s="51">
        <v>2.8E-5</v>
      </c>
      <c r="C55" s="52">
        <v>2.8E-5</v>
      </c>
      <c r="D55" s="53">
        <v>2.8E-5</v>
      </c>
      <c r="E55" s="64">
        <v>3.9999999999999998E-6</v>
      </c>
      <c r="F55" s="75">
        <v>3.9999999999999998E-6</v>
      </c>
      <c r="G55" s="85">
        <v>3.9999999999999998E-6</v>
      </c>
      <c r="H55" s="96">
        <v>3.9999999999999998E-6</v>
      </c>
      <c r="I55" s="106">
        <v>0</v>
      </c>
    </row>
    <row r="56" spans="1:21" x14ac:dyDescent="0.25">
      <c r="A56" s="35"/>
      <c r="B56" s="36"/>
      <c r="C56" s="39"/>
      <c r="D56" s="38"/>
      <c r="E56" s="63"/>
      <c r="F56" s="74"/>
      <c r="G56" s="84"/>
      <c r="H56" s="95"/>
      <c r="I56" s="105"/>
    </row>
    <row r="57" spans="1:21" x14ac:dyDescent="0.25">
      <c r="A57" s="35" t="s">
        <v>79</v>
      </c>
      <c r="B57" s="42">
        <f>SUM(B58:B59)</f>
        <v>4.4144999999999997E-2</v>
      </c>
      <c r="C57" s="43">
        <f>SUM(C58:C59)</f>
        <v>4.8826000000000001E-2</v>
      </c>
      <c r="D57" s="44">
        <f>SUM(D58:D59)</f>
        <v>4.7427999999999998E-2</v>
      </c>
      <c r="E57" s="67">
        <v>5.6395000000000008E-2</v>
      </c>
      <c r="F57" s="74">
        <f>SUM(F58:F59)</f>
        <v>7.3965000000000003E-2</v>
      </c>
      <c r="G57" s="84">
        <f>SUM(G58:G59)</f>
        <v>5.8073000000000007E-2</v>
      </c>
      <c r="H57" s="95">
        <f>SUM(H58:H59)</f>
        <v>5.2494000000000006E-2</v>
      </c>
      <c r="I57" s="105">
        <f>SUM(I58:I59)</f>
        <v>5.6715999999999996E-2</v>
      </c>
    </row>
    <row r="58" spans="1:21" x14ac:dyDescent="0.25">
      <c r="A58" s="31" t="s">
        <v>80</v>
      </c>
      <c r="B58" s="51">
        <v>4.4124999999999998E-2</v>
      </c>
      <c r="C58" s="52">
        <v>4.8806000000000002E-2</v>
      </c>
      <c r="D58" s="53">
        <v>4.7407999999999999E-2</v>
      </c>
      <c r="E58" s="64">
        <v>5.6393000000000006E-2</v>
      </c>
      <c r="F58" s="75">
        <v>7.3963000000000001E-2</v>
      </c>
      <c r="G58" s="85">
        <v>5.8071000000000005E-2</v>
      </c>
      <c r="H58" s="96">
        <v>5.2492000000000004E-2</v>
      </c>
      <c r="I58" s="106">
        <v>5.6715999999999996E-2</v>
      </c>
    </row>
    <row r="59" spans="1:21" x14ac:dyDescent="0.25">
      <c r="A59" s="31" t="s">
        <v>81</v>
      </c>
      <c r="B59" s="51">
        <v>2.0000000000000002E-5</v>
      </c>
      <c r="C59" s="52">
        <v>2.0000000000000002E-5</v>
      </c>
      <c r="D59" s="53">
        <v>2.0000000000000002E-5</v>
      </c>
      <c r="E59" s="64">
        <v>1.9999999999999999E-6</v>
      </c>
      <c r="F59" s="75">
        <v>1.9999999999999999E-6</v>
      </c>
      <c r="G59" s="85">
        <v>1.9999999999999999E-6</v>
      </c>
      <c r="H59" s="96">
        <v>1.9999999999999999E-6</v>
      </c>
      <c r="I59" s="106">
        <v>0</v>
      </c>
    </row>
    <row r="60" spans="1:21" x14ac:dyDescent="0.25">
      <c r="A60" s="35"/>
      <c r="B60" s="42"/>
      <c r="C60" s="43"/>
      <c r="D60" s="44"/>
      <c r="E60" s="67"/>
      <c r="F60" s="78"/>
      <c r="G60" s="88"/>
      <c r="H60" s="98"/>
      <c r="I60" s="108"/>
    </row>
    <row r="61" spans="1:21" x14ac:dyDescent="0.25">
      <c r="A61" s="35" t="s">
        <v>82</v>
      </c>
      <c r="B61" s="54">
        <v>-1.6976000000000002E-2</v>
      </c>
      <c r="C61" s="55">
        <v>-1.9216E-2</v>
      </c>
      <c r="D61" s="56">
        <v>-2.4763E-2</v>
      </c>
      <c r="E61" s="65">
        <v>-2.0135E-2</v>
      </c>
      <c r="F61" s="76">
        <v>-4.7689999999999998E-3</v>
      </c>
      <c r="G61" s="86">
        <v>-2.2251E-2</v>
      </c>
      <c r="H61" s="99">
        <v>-2.2248E-2</v>
      </c>
      <c r="I61" s="109">
        <v>-2.5821E-2</v>
      </c>
    </row>
    <row r="62" spans="1:21" x14ac:dyDescent="0.25">
      <c r="A62" s="35"/>
      <c r="B62" s="36"/>
      <c r="C62" s="37"/>
      <c r="D62" s="38"/>
      <c r="E62" s="63"/>
      <c r="F62" s="74"/>
      <c r="G62" s="84"/>
      <c r="H62" s="95"/>
      <c r="I62" s="105"/>
    </row>
    <row r="63" spans="1:21" x14ac:dyDescent="0.25">
      <c r="A63" s="45" t="s">
        <v>83</v>
      </c>
      <c r="B63" s="57">
        <v>0.1525</v>
      </c>
      <c r="C63" s="58">
        <v>0.1525</v>
      </c>
      <c r="D63" s="59">
        <v>0.1525</v>
      </c>
      <c r="E63" s="68">
        <v>0.1525</v>
      </c>
      <c r="F63" s="79">
        <v>0</v>
      </c>
      <c r="G63" s="89">
        <v>0</v>
      </c>
      <c r="H63" s="100">
        <v>0</v>
      </c>
      <c r="I63" s="110">
        <v>0</v>
      </c>
    </row>
    <row r="64" spans="1:21" x14ac:dyDescent="0.25"/>
    <row r="65" x14ac:dyDescent="0.25"/>
  </sheetData>
  <autoFilter ref="A8:W8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5E1C6C21D4D747882FFC1B1DB12F54" ma:contentTypeVersion="14" ma:contentTypeDescription="Create a new document." ma:contentTypeScope="" ma:versionID="ebcd00f67393685aac17b5b10af655cf">
  <xsd:schema xmlns:xsd="http://www.w3.org/2001/XMLSchema" xmlns:xs="http://www.w3.org/2001/XMLSchema" xmlns:p="http://schemas.microsoft.com/office/2006/metadata/properties" xmlns:ns2="8e897d00-9665-4c14-a7e5-9c68e381fa23" xmlns:ns3="2e96da69-75b6-42f5-a8bb-83d12de244fa" targetNamespace="http://schemas.microsoft.com/office/2006/metadata/properties" ma:root="true" ma:fieldsID="31b1d2edaa7608acb6c947427ad84415" ns2:_="" ns3:_="">
    <xsd:import namespace="8e897d00-9665-4c14-a7e5-9c68e381fa23"/>
    <xsd:import namespace="2e96da69-75b6-42f5-a8bb-83d12de24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97d00-9665-4c14-a7e5-9c68e381f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d4f7018-4042-4e78-aa8c-243777416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6da69-75b6-42f5-a8bb-83d12de244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53bbf33-e3c8-4932-a7a5-88341a42870a}" ma:internalName="TaxCatchAll" ma:showField="CatchAllData" ma:web="2e96da69-75b6-42f5-a8bb-83d12de24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96da69-75b6-42f5-a8bb-83d12de244fa" xsi:nil="true"/>
    <lcf76f155ced4ddcb4097134ff3c332f xmlns="8e897d00-9665-4c14-a7e5-9c68e381fa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0FFAD-A4B1-43A3-BDE9-5A6F95765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97d00-9665-4c14-a7e5-9c68e381fa23"/>
    <ds:schemaRef ds:uri="2e96da69-75b6-42f5-a8bb-83d12de24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52F73A-807B-4C51-8897-BCF0621133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134C73-9339-4775-9F4E-4BA9E7C82DBB}">
  <ds:schemaRefs>
    <ds:schemaRef ds:uri="http://schemas.microsoft.com/office/2006/metadata/properties"/>
    <ds:schemaRef ds:uri="http://schemas.microsoft.com/office/infopath/2007/PartnerControls"/>
    <ds:schemaRef ds:uri="2e96da69-75b6-42f5-a8bb-83d12de244fa"/>
    <ds:schemaRef ds:uri="8e897d00-9665-4c14-a7e5-9c68e381f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Enbridge Invoice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Woo</cp:lastModifiedBy>
  <cp:revision/>
  <dcterms:created xsi:type="dcterms:W3CDTF">2024-11-04T20:09:05Z</dcterms:created>
  <dcterms:modified xsi:type="dcterms:W3CDTF">2026-04-01T16:03:51Z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0x010100885E1C6C21D4D747882FFC1B1DB12F54</vt:lpwstr>
  </property>
  <property fmtid="{D5CDD505-2E9C-101B-9397-08002B2CF9AE}" pid="3" name="MediaServiceImageTags">
    <vt:lpwstr/>
  </property>
</Properties>
</file>