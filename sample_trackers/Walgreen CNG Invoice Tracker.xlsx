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elissa.woo\Downloads\"/>
    </mc:Choice>
  </mc:AlternateContent>
  <xr:revisionPtr revIDLastSave="0" documentId="13_ncr:1_{81185DD0-4507-4FCD-BC73-F081840B8E3A}" xr6:coauthVersionLast="47" xr6:coauthVersionMax="47" xr10:uidLastSave="{00000000-0000-0000-0000-000000000000}"/>
  <bookViews>
    <workbookView xWindow="51480" yWindow="5115" windowWidth="29040" windowHeight="15720" xr2:uid="{00000000-000D-0000-FFFF-FFFF00000000}"/>
  </bookViews>
  <sheets>
    <sheet name="Walgreen CNG Invoice Tracking" sheetId="1" r:id="rId1"/>
  </sheets>
  <calcPr calcId="191028" iterate="1" iterateCount="100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1" l="1"/>
  <c r="J15" i="1"/>
  <c r="J16" i="1"/>
  <c r="J17" i="1"/>
  <c r="J18" i="1"/>
  <c r="U18" i="1" s="1"/>
  <c r="J19" i="1"/>
  <c r="U19" i="1" s="1"/>
  <c r="J20" i="1"/>
  <c r="U20" i="1" s="1"/>
  <c r="J21" i="1"/>
  <c r="J22" i="1"/>
  <c r="J23" i="1"/>
  <c r="J24" i="1"/>
  <c r="J25" i="1"/>
  <c r="J26" i="1"/>
  <c r="J27" i="1"/>
  <c r="J28" i="1"/>
  <c r="J29" i="1"/>
  <c r="U29" i="1" s="1"/>
  <c r="J30" i="1"/>
  <c r="U30" i="1" s="1"/>
  <c r="J31" i="1"/>
  <c r="U31" i="1" s="1"/>
  <c r="J32" i="1"/>
  <c r="U32" i="1" s="1"/>
  <c r="J33" i="1"/>
  <c r="U33" i="1" s="1"/>
  <c r="J34" i="1"/>
  <c r="U34" i="1" s="1"/>
  <c r="J35" i="1"/>
  <c r="U35" i="1" s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T17" i="1"/>
  <c r="U17" i="1"/>
  <c r="T18" i="1"/>
  <c r="T19" i="1"/>
  <c r="T20" i="1"/>
  <c r="T21" i="1"/>
  <c r="U21" i="1"/>
  <c r="T22" i="1"/>
  <c r="U22" i="1"/>
  <c r="T23" i="1"/>
  <c r="U23" i="1"/>
  <c r="T24" i="1"/>
  <c r="U24" i="1"/>
  <c r="T25" i="1"/>
  <c r="U25" i="1"/>
  <c r="T26" i="1"/>
  <c r="U26" i="1"/>
  <c r="T27" i="1"/>
  <c r="U27" i="1"/>
  <c r="T28" i="1"/>
  <c r="U28" i="1"/>
  <c r="T29" i="1"/>
  <c r="T30" i="1"/>
  <c r="T31" i="1"/>
  <c r="T32" i="1"/>
  <c r="T33" i="1"/>
  <c r="T34" i="1"/>
  <c r="T35" i="1"/>
  <c r="J10" i="1"/>
  <c r="J11" i="1"/>
  <c r="J12" i="1"/>
  <c r="J13" i="1"/>
  <c r="J9" i="1"/>
  <c r="T10" i="1"/>
  <c r="T11" i="1"/>
  <c r="T12" i="1"/>
  <c r="T13" i="1"/>
  <c r="T14" i="1"/>
  <c r="T15" i="1"/>
  <c r="T16" i="1"/>
  <c r="E12" i="1"/>
  <c r="E13" i="1"/>
  <c r="E14" i="1"/>
  <c r="E15" i="1"/>
  <c r="T9" i="1"/>
  <c r="E10" i="1"/>
  <c r="E11" i="1"/>
  <c r="E9" i="1"/>
  <c r="U12" i="1" l="1"/>
  <c r="U13" i="1"/>
  <c r="U14" i="1"/>
  <c r="U15" i="1"/>
  <c r="U16" i="1"/>
  <c r="U10" i="1"/>
  <c r="U11" i="1"/>
  <c r="U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Melissa Woo</author>
  </authors>
  <commentList>
    <comment ref="K9" authorId="0" shapeId="0" xr:uid="{E07BAFBF-5318-4C24-BDDD-5E991435A0A2}">
      <text>
        <r>
          <rPr>
            <sz val="11"/>
            <color theme="1"/>
            <rFont val="Aptos Narrow"/>
            <family val="2"/>
            <scheme val="minor"/>
          </rPr>
          <t xml:space="preserve">Melissa Woo:
6 days out of 30 days worth of the fixed customer Monthly charge
</t>
        </r>
      </text>
    </comment>
  </commentList>
</comments>
</file>

<file path=xl/sharedStrings.xml><?xml version="1.0" encoding="utf-8"?>
<sst xmlns="http://schemas.openxmlformats.org/spreadsheetml/2006/main" count="35" uniqueCount="30">
  <si>
    <t>Walgreen Enbridge CNG Invoice Tracking</t>
  </si>
  <si>
    <r>
      <t>Address:</t>
    </r>
    <r>
      <rPr>
        <sz val="11"/>
        <color rgb="FF000000"/>
        <rFont val="Aptos Narrow"/>
        <family val="2"/>
      </rPr>
      <t xml:space="preserve"> 145 WALGREEN ROAD, CARP, ON K0A 1L0</t>
    </r>
  </si>
  <si>
    <r>
      <t>Account Number:</t>
    </r>
    <r>
      <rPr>
        <sz val="11"/>
        <color rgb="FFFF0000"/>
        <rFont val="Aptos Narrow"/>
        <family val="2"/>
      </rPr>
      <t xml:space="preserve"> TBD</t>
    </r>
  </si>
  <si>
    <r>
      <t>Bill Number:</t>
    </r>
    <r>
      <rPr>
        <sz val="11"/>
        <color rgb="FFFF0000"/>
        <rFont val="Aptos Narrow"/>
        <family val="2"/>
        <scheme val="minor"/>
      </rPr>
      <t xml:space="preserve"> TBD</t>
    </r>
  </si>
  <si>
    <r>
      <t xml:space="preserve">Rate: 
</t>
    </r>
    <r>
      <rPr>
        <sz val="11"/>
        <color rgb="FF000000"/>
        <rFont val="Aptos Narrow"/>
        <family val="2"/>
        <scheme val="minor"/>
      </rPr>
      <t xml:space="preserve"> - Rate 110 Firm - CD = 10,577 m3
 - Rate 145 Interruptible - CD = 10,577 m3</t>
    </r>
  </si>
  <si>
    <t>Will need to update the table below once an invoice is recieved for walgreen</t>
  </si>
  <si>
    <t>Enbridge Qtr Handbook Rate Reference</t>
  </si>
  <si>
    <t>Rate</t>
  </si>
  <si>
    <t>Start Date</t>
  </si>
  <si>
    <t>End Date</t>
  </si>
  <si>
    <t>Days</t>
  </si>
  <si>
    <t>CD_1</t>
  </si>
  <si>
    <t>CD_2</t>
  </si>
  <si>
    <t>Gas Consumption_1</t>
  </si>
  <si>
    <t>Gas Consumption_2</t>
  </si>
  <si>
    <t>Total Gas Consumption</t>
  </si>
  <si>
    <t>Customer Monthly  Charge</t>
  </si>
  <si>
    <t>Demand Charge</t>
  </si>
  <si>
    <t>Demand Charge 2</t>
  </si>
  <si>
    <t>Delivery Charge</t>
  </si>
  <si>
    <t>Loading Balance Charge</t>
  </si>
  <si>
    <t>Transportation</t>
  </si>
  <si>
    <t>Gas Supply - Commodity</t>
  </si>
  <si>
    <t>Gas Supply - Commodity_2</t>
  </si>
  <si>
    <t>Cost Adjustment</t>
  </si>
  <si>
    <t>Enbridge Invoice Cost (Excluding HST)</t>
  </si>
  <si>
    <t>$/m3</t>
  </si>
  <si>
    <t>Q4 2025</t>
  </si>
  <si>
    <t>Q4 2025 &amp; Q1 2026</t>
  </si>
  <si>
    <t>Q1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</si>
</sst>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&quot;$&quot;#,##0.00"/>
    <numFmt numFmtId="173" formatCode="_(* #,##0_);_(* \(#,##0\);_(* &quot;-&quot;??_);_(@_)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FF0000"/>
      <name val="Aptos Narrow"/>
      <family val="2"/>
    </font>
    <font>
      <b/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5" fillId="0" borderId="0" xfId="0" applyFont="1" applyAlignment="1">
      <alignment horizontal="left"/>
    </xf>
    <xf numFmtId="0" fontId="1" fillId="0" borderId="0" xfId="0" applyFont="1"/>
    <xf numFmtId="0" fontId="0" fillId="0" borderId="2" xfId="0" applyBorder="1" applyAlignment="1">
      <alignment horizontal="center"/>
    </xf>
    <xf numFmtId="0" fontId="6" fillId="0" borderId="0" xfId="0" applyFont="1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/>
    <xf numFmtId="0" fontId="7" fillId="0" borderId="1" xfId="0" applyFont="1" applyBorder="1"/>
    <xf numFmtId="0" fontId="7" fillId="0" borderId="1" xfId="0" applyFont="1" applyBorder="1" applyAlignment="1">
      <alignment wrapText="1"/>
    </xf>
    <xf numFmtId="173" fontId="0" fillId="0" borderId="2" xfId="0" applyNumberFormat="1" applyBorder="1"/>
    <xf numFmtId="0" fontId="1" fillId="3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2" xfId="0" applyFont="1" applyFill="1" applyBorder="1"/>
    <xf numFmtId="166" fontId="0" fillId="0" borderId="2" xfId="0" applyNumberFormat="1" applyBorder="1"/>
    <xf numFmtId="166" fontId="0" fillId="3" borderId="2" xfId="0" applyNumberFormat="1" applyFill="1" applyBorder="1"/>
    <xf numFmtId="0" fontId="4" fillId="0" borderId="1" xfId="0" applyFont="1" applyBorder="1"/>
    <xf numFmtId="0" fontId="4" fillId="0" borderId="1" xfId="0" applyFont="1" applyBorder="1" applyAlignment="1">
      <alignment vertical="top" wrapText="1"/>
    </xf>
    <xf numFmtId="0" fontId="10" fillId="0" borderId="0" xfId="0" applyFont="1"/>
    <xf numFmtId="15" fontId="0" fillId="0" borderId="2" xfId="0" applyNumberFormat="1" applyBorder="1"/>
    <xf numFmtId="1" fontId="0" fillId="0" borderId="2" xfId="0" applyNumberFormat="1" applyBorder="1"/>
    <xf numFmtId="0" fontId="7" fillId="0" borderId="0" xfId="0" applyFont="1" applyAlignment="1">
      <alignment wrapText="1"/>
    </xf>
    <xf numFmtId="0" fontId="7" fillId="0" borderId="0" xfId="0" applyFont="1"/>
    <xf numFmtId="0" fontId="4" fillId="0" borderId="0" xfId="0" applyFont="1"/>
    <xf numFmtId="0" fontId="4" fillId="0" borderId="0" xfId="0" applyFont="1" applyAlignment="1">
      <alignment vertical="top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5" fontId="0" fillId="0" borderId="6" xfId="0" applyNumberFormat="1" applyBorder="1"/>
    <xf numFmtId="0" fontId="1" fillId="3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4C4"/>
      <color rgb="FFFF99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U35"/>
  <sheetViews>
    <sheetView tabSelected="1" workbookViewId="0">
      <selection activeCell="C5" sqref="C5"/>
    </sheetView>
  </sheetViews>
  <sheetFormatPr defaultRowHeight="15" x14ac:dyDescent="0.25"/>
  <cols>
    <col min="1" max="1" width="45.7109375" customWidth="1"/>
    <col min="2" max="2" width="15.28515625" customWidth="1"/>
    <col min="3" max="3" width="11.140625" customWidth="1"/>
    <col min="4" max="4" width="10.140625" bestFit="1" customWidth="1"/>
    <col min="5" max="5" width="10.140625" customWidth="1"/>
    <col min="6" max="7" width="14.42578125" customWidth="1"/>
    <col min="8" max="8" width="20.7109375" customWidth="1"/>
    <col min="9" max="9" width="22.5703125" customWidth="1"/>
    <col min="10" max="10" width="25.85546875" customWidth="1"/>
    <col min="11" max="11" width="27.42578125" customWidth="1"/>
    <col min="12" max="12" width="14.7109375" bestFit="1" customWidth="1"/>
    <col min="13" max="13" width="18.85546875" customWidth="1"/>
    <col min="14" max="14" width="14.7109375" bestFit="1" customWidth="1"/>
    <col min="15" max="15" width="28.28515625" bestFit="1" customWidth="1"/>
    <col min="16" max="16" width="26.140625" bestFit="1" customWidth="1"/>
    <col min="17" max="17" width="21.85546875" bestFit="1" customWidth="1"/>
    <col min="18" max="18" width="25.140625" customWidth="1"/>
    <col min="19" max="19" width="26.140625" customWidth="1"/>
    <col min="20" max="20" width="35.42578125" bestFit="1" customWidth="1"/>
    <col min="21" max="21" width="15.42578125" customWidth="1"/>
  </cols>
  <sheetData>
    <row r="1" spans="1:21" ht="18.75" x14ac:dyDescent="0.3">
      <c r="A1" s="1" t="s">
        <v>0</v>
      </c>
      <c r="B1" s="1"/>
    </row>
    <row r="2" spans="1:21" x14ac:dyDescent="0.25">
      <c r="A2" s="9" t="s">
        <v>1</v>
      </c>
      <c r="B2" s="22"/>
    </row>
    <row r="3" spans="1:21" x14ac:dyDescent="0.25">
      <c r="A3" s="8" t="s">
        <v>2</v>
      </c>
      <c r="B3" s="23"/>
      <c r="C3" s="4"/>
    </row>
    <row r="4" spans="1:21" x14ac:dyDescent="0.25">
      <c r="A4" s="17" t="s">
        <v>3</v>
      </c>
      <c r="B4" s="24"/>
      <c r="C4" s="5"/>
    </row>
    <row r="5" spans="1:21" ht="67.5" customHeight="1" x14ac:dyDescent="0.25">
      <c r="A5" s="18" t="s">
        <v>4</v>
      </c>
      <c r="B5" s="25"/>
      <c r="C5" s="6"/>
    </row>
    <row r="6" spans="1:21" x14ac:dyDescent="0.25">
      <c r="A6" s="2"/>
      <c r="B6" s="2"/>
      <c r="C6" s="6"/>
    </row>
    <row r="7" spans="1:21" x14ac:dyDescent="0.25">
      <c r="A7" s="19" t="s">
        <v>5</v>
      </c>
      <c r="B7" s="19"/>
      <c r="C7" s="6"/>
    </row>
    <row r="8" spans="1:21" x14ac:dyDescent="0.25">
      <c r="A8" s="11" t="s">
        <v>6</v>
      </c>
      <c r="B8" s="30" t="s">
        <v>7</v>
      </c>
      <c r="C8" s="11" t="s">
        <v>8</v>
      </c>
      <c r="D8" s="11" t="s">
        <v>9</v>
      </c>
      <c r="E8" s="11" t="s">
        <v>10</v>
      </c>
      <c r="F8" s="11" t="s">
        <v>11</v>
      </c>
      <c r="G8" s="11" t="s">
        <v>12</v>
      </c>
      <c r="H8" s="11" t="s">
        <v>13</v>
      </c>
      <c r="I8" s="11" t="s">
        <v>14</v>
      </c>
      <c r="J8" s="11" t="s">
        <v>15</v>
      </c>
      <c r="K8" s="13" t="s">
        <v>16</v>
      </c>
      <c r="L8" s="13" t="s">
        <v>17</v>
      </c>
      <c r="M8" s="13" t="s">
        <v>18</v>
      </c>
      <c r="N8" s="13" t="s">
        <v>19</v>
      </c>
      <c r="O8" s="13" t="s">
        <v>20</v>
      </c>
      <c r="P8" s="13" t="s">
        <v>21</v>
      </c>
      <c r="Q8" s="14" t="s">
        <v>22</v>
      </c>
      <c r="R8" s="14" t="s">
        <v>23</v>
      </c>
      <c r="S8" s="13" t="s">
        <v>24</v>
      </c>
      <c r="T8" s="12" t="s">
        <v>25</v>
      </c>
      <c r="U8" s="12" t="s">
        <v>26</v>
      </c>
    </row>
    <row r="9" spans="1:21" x14ac:dyDescent="0.25">
      <c r="A9" s="28" t="s">
        <v>27</v>
      </c>
      <c r="B9" s="26">
        <v>110</v>
      </c>
      <c r="C9" s="29">
        <v>45965</v>
      </c>
      <c r="D9" s="20">
        <v>45970</v>
      </c>
      <c r="E9" s="21">
        <f>D9-C9</f>
        <v>5</v>
      </c>
      <c r="F9" s="10">
        <v>10577</v>
      </c>
      <c r="G9" s="10"/>
      <c r="H9" s="10">
        <v>865</v>
      </c>
      <c r="I9" s="10"/>
      <c r="J9" s="10">
        <f>SUM(H9:I9)</f>
        <v>865</v>
      </c>
      <c r="K9" s="15">
        <v>137</v>
      </c>
      <c r="L9" s="15">
        <v>590.73</v>
      </c>
      <c r="M9" s="15">
        <v>0</v>
      </c>
      <c r="N9" s="15">
        <v>8.6999999999999993</v>
      </c>
      <c r="O9" s="15">
        <v>3.36</v>
      </c>
      <c r="P9" s="15">
        <v>45.41</v>
      </c>
      <c r="Q9" s="15">
        <v>105.83</v>
      </c>
      <c r="R9" s="15">
        <v>0</v>
      </c>
      <c r="S9" s="15">
        <v>-17.68</v>
      </c>
      <c r="T9" s="16">
        <f t="shared" ref="T9:T35" si="0">SUM(K9:S9)</f>
        <v>873.35000000000014</v>
      </c>
      <c r="U9" s="16">
        <f t="shared" ref="U9:U35" si="1">IFERROR(T9/J9,0)</f>
        <v>1.0096531791907517</v>
      </c>
    </row>
    <row r="10" spans="1:21" x14ac:dyDescent="0.25">
      <c r="A10" s="28" t="s">
        <v>27</v>
      </c>
      <c r="B10" s="27">
        <v>145</v>
      </c>
      <c r="C10" s="29">
        <v>45965</v>
      </c>
      <c r="D10" s="20">
        <v>45970</v>
      </c>
      <c r="E10" s="21">
        <f>D10-C10</f>
        <v>5</v>
      </c>
      <c r="F10" s="10">
        <v>10577</v>
      </c>
      <c r="G10" s="10"/>
      <c r="H10" s="7">
        <v>0</v>
      </c>
      <c r="I10" s="10"/>
      <c r="J10" s="10">
        <f t="shared" ref="J10:J35" si="2">SUM(H10:I10)</f>
        <v>0</v>
      </c>
      <c r="K10" s="7">
        <v>28.92</v>
      </c>
      <c r="L10" s="7">
        <v>249.95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6">
        <f t="shared" si="0"/>
        <v>278.87</v>
      </c>
      <c r="U10" s="16">
        <f t="shared" si="1"/>
        <v>0</v>
      </c>
    </row>
    <row r="11" spans="1:21" x14ac:dyDescent="0.25">
      <c r="A11" s="3" t="s">
        <v>27</v>
      </c>
      <c r="B11" s="26">
        <v>110</v>
      </c>
      <c r="C11" s="20">
        <v>45971</v>
      </c>
      <c r="D11" s="20">
        <v>45999</v>
      </c>
      <c r="E11" s="21">
        <f>D11-C11</f>
        <v>28</v>
      </c>
      <c r="F11" s="10">
        <v>10577</v>
      </c>
      <c r="G11" s="10"/>
      <c r="H11" s="7">
        <v>5017</v>
      </c>
      <c r="I11" s="10"/>
      <c r="J11" s="10">
        <f t="shared" si="2"/>
        <v>5017</v>
      </c>
      <c r="K11" s="7">
        <v>684.99</v>
      </c>
      <c r="L11" s="7">
        <v>2953.67</v>
      </c>
      <c r="M11" s="15">
        <v>0</v>
      </c>
      <c r="N11" s="7">
        <v>50.45</v>
      </c>
      <c r="O11" s="7">
        <v>19.510000000000002</v>
      </c>
      <c r="P11" s="7">
        <v>263.36</v>
      </c>
      <c r="Q11" s="7">
        <v>613.84</v>
      </c>
      <c r="R11" s="15">
        <v>0</v>
      </c>
      <c r="S11" s="7">
        <v>-102.5</v>
      </c>
      <c r="T11" s="16">
        <f t="shared" si="0"/>
        <v>4483.32</v>
      </c>
      <c r="U11" s="16">
        <f t="shared" si="1"/>
        <v>0.89362567271277649</v>
      </c>
    </row>
    <row r="12" spans="1:21" x14ac:dyDescent="0.25">
      <c r="A12" s="3" t="s">
        <v>27</v>
      </c>
      <c r="B12" s="27">
        <v>145</v>
      </c>
      <c r="C12" s="20">
        <v>45971</v>
      </c>
      <c r="D12" s="20">
        <v>45999</v>
      </c>
      <c r="E12" s="21">
        <f t="shared" ref="E12:E35" si="3">D12-C12</f>
        <v>28</v>
      </c>
      <c r="F12" s="10">
        <v>10577</v>
      </c>
      <c r="G12" s="10"/>
      <c r="H12" s="7">
        <v>0</v>
      </c>
      <c r="I12" s="10"/>
      <c r="J12" s="10">
        <f t="shared" si="2"/>
        <v>0</v>
      </c>
      <c r="K12" s="7">
        <v>144.62</v>
      </c>
      <c r="L12" s="7">
        <v>1249.73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6">
        <f t="shared" si="0"/>
        <v>1394.35</v>
      </c>
      <c r="U12" s="16">
        <f t="shared" si="1"/>
        <v>0</v>
      </c>
    </row>
    <row r="13" spans="1:21" x14ac:dyDescent="0.25">
      <c r="A13" s="3" t="s">
        <v>28</v>
      </c>
      <c r="B13" s="26">
        <v>110</v>
      </c>
      <c r="C13" s="20">
        <v>46000</v>
      </c>
      <c r="D13" s="20">
        <v>46029</v>
      </c>
      <c r="E13" s="21">
        <f t="shared" si="3"/>
        <v>29</v>
      </c>
      <c r="F13" s="10">
        <v>8109</v>
      </c>
      <c r="G13" s="10">
        <v>2468</v>
      </c>
      <c r="H13" s="7">
        <v>3979</v>
      </c>
      <c r="I13" s="10">
        <v>5838</v>
      </c>
      <c r="J13" s="10">
        <f t="shared" si="2"/>
        <v>9817</v>
      </c>
      <c r="K13" s="7">
        <v>691.37</v>
      </c>
      <c r="L13" s="7">
        <v>2264.4699999999998</v>
      </c>
      <c r="M13" s="7">
        <v>730.19</v>
      </c>
      <c r="N13" s="7">
        <v>103.47</v>
      </c>
      <c r="O13" s="7">
        <v>43.15</v>
      </c>
      <c r="P13" s="7">
        <v>539.98</v>
      </c>
      <c r="Q13" s="7">
        <v>486.84</v>
      </c>
      <c r="R13" s="7">
        <v>800.85</v>
      </c>
      <c r="S13" s="7">
        <v>-197.3</v>
      </c>
      <c r="T13" s="16">
        <f t="shared" si="0"/>
        <v>5463.0199999999995</v>
      </c>
      <c r="U13" s="16">
        <f t="shared" si="1"/>
        <v>0.5564856880920851</v>
      </c>
    </row>
    <row r="14" spans="1:21" x14ac:dyDescent="0.25">
      <c r="A14" s="3" t="s">
        <v>28</v>
      </c>
      <c r="B14" s="27">
        <v>145</v>
      </c>
      <c r="C14" s="20">
        <v>46000</v>
      </c>
      <c r="D14" s="20">
        <v>46029</v>
      </c>
      <c r="E14" s="21">
        <f t="shared" si="3"/>
        <v>29</v>
      </c>
      <c r="F14" s="10">
        <v>8109</v>
      </c>
      <c r="G14" s="10">
        <v>2468</v>
      </c>
      <c r="H14" s="10">
        <v>0</v>
      </c>
      <c r="I14" s="10"/>
      <c r="J14" s="10">
        <f t="shared" si="2"/>
        <v>0</v>
      </c>
      <c r="K14" s="7">
        <v>145.96</v>
      </c>
      <c r="L14" s="7">
        <v>958.12</v>
      </c>
      <c r="M14" s="7">
        <v>369.55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16">
        <f t="shared" si="0"/>
        <v>1473.6299999999999</v>
      </c>
      <c r="U14" s="16">
        <f t="shared" si="1"/>
        <v>0</v>
      </c>
    </row>
    <row r="15" spans="1:21" x14ac:dyDescent="0.25">
      <c r="A15" s="3" t="s">
        <v>29</v>
      </c>
      <c r="B15" s="26">
        <v>110</v>
      </c>
      <c r="C15" s="20">
        <v>46030</v>
      </c>
      <c r="D15" s="20">
        <v>46061</v>
      </c>
      <c r="E15" s="21">
        <f t="shared" si="3"/>
        <v>31</v>
      </c>
      <c r="F15" s="10">
        <v>10577</v>
      </c>
      <c r="G15" s="10"/>
      <c r="H15" s="10">
        <v>39756</v>
      </c>
      <c r="I15" s="10">
        <v>0</v>
      </c>
      <c r="J15" s="10">
        <f t="shared" si="2"/>
        <v>39756</v>
      </c>
      <c r="K15" s="7">
        <v>712.33</v>
      </c>
      <c r="L15" s="7">
        <v>3129.36</v>
      </c>
      <c r="M15" s="7">
        <v>0</v>
      </c>
      <c r="N15" s="7">
        <v>432.14</v>
      </c>
      <c r="O15" s="7">
        <v>188.52</v>
      </c>
      <c r="P15" s="7">
        <v>2254.8000000000002</v>
      </c>
      <c r="Q15" s="7">
        <v>5453.69</v>
      </c>
      <c r="R15" s="7">
        <v>0</v>
      </c>
      <c r="S15" s="7">
        <v>-789.96</v>
      </c>
      <c r="T15" s="16">
        <f t="shared" si="0"/>
        <v>11380.880000000001</v>
      </c>
      <c r="U15" s="16">
        <f t="shared" si="1"/>
        <v>0.28626823624107056</v>
      </c>
    </row>
    <row r="16" spans="1:21" x14ac:dyDescent="0.25">
      <c r="A16" s="3" t="s">
        <v>29</v>
      </c>
      <c r="B16" s="27">
        <v>145</v>
      </c>
      <c r="C16" s="20">
        <v>46030</v>
      </c>
      <c r="D16" s="20">
        <v>46061</v>
      </c>
      <c r="E16" s="21">
        <f t="shared" si="3"/>
        <v>31</v>
      </c>
      <c r="F16" s="10">
        <v>10577</v>
      </c>
      <c r="G16" s="10"/>
      <c r="H16" s="10">
        <v>0</v>
      </c>
      <c r="I16" s="10"/>
      <c r="J16" s="10">
        <f t="shared" si="2"/>
        <v>0</v>
      </c>
      <c r="K16" s="7">
        <v>150.36000000000001</v>
      </c>
      <c r="L16" s="7">
        <v>1583.77</v>
      </c>
      <c r="M16" s="7"/>
      <c r="N16" s="7"/>
      <c r="O16" s="7"/>
      <c r="P16" s="7"/>
      <c r="Q16" s="7"/>
      <c r="R16" s="7"/>
      <c r="S16" s="7"/>
      <c r="T16" s="16">
        <f t="shared" si="0"/>
        <v>1734.13</v>
      </c>
      <c r="U16" s="16">
        <f t="shared" si="1"/>
        <v>0</v>
      </c>
    </row>
    <row r="17" spans="1:21" x14ac:dyDescent="0.25">
      <c r="A17" s="3"/>
      <c r="B17" s="3"/>
      <c r="C17" s="20"/>
      <c r="D17" s="20"/>
      <c r="E17" s="21">
        <f t="shared" si="3"/>
        <v>0</v>
      </c>
      <c r="F17" s="10"/>
      <c r="G17" s="10"/>
      <c r="H17" s="10"/>
      <c r="I17" s="10"/>
      <c r="J17" s="10">
        <f t="shared" si="2"/>
        <v>0</v>
      </c>
      <c r="K17" s="7"/>
      <c r="L17" s="7"/>
      <c r="M17" s="7"/>
      <c r="N17" s="7"/>
      <c r="O17" s="7"/>
      <c r="P17" s="7"/>
      <c r="Q17" s="7"/>
      <c r="R17" s="7"/>
      <c r="S17" s="7"/>
      <c r="T17" s="16">
        <f t="shared" si="0"/>
        <v>0</v>
      </c>
      <c r="U17" s="16">
        <f t="shared" si="1"/>
        <v>0</v>
      </c>
    </row>
    <row r="18" spans="1:21" x14ac:dyDescent="0.25">
      <c r="A18" s="3"/>
      <c r="B18" s="3"/>
      <c r="C18" s="20"/>
      <c r="D18" s="20"/>
      <c r="E18" s="21">
        <f t="shared" si="3"/>
        <v>0</v>
      </c>
      <c r="F18" s="10"/>
      <c r="G18" s="10"/>
      <c r="H18" s="10"/>
      <c r="I18" s="10"/>
      <c r="J18" s="10">
        <f t="shared" si="2"/>
        <v>0</v>
      </c>
      <c r="K18" s="7"/>
      <c r="L18" s="7"/>
      <c r="M18" s="7"/>
      <c r="N18" s="7"/>
      <c r="O18" s="7"/>
      <c r="P18" s="7"/>
      <c r="Q18" s="7"/>
      <c r="R18" s="7"/>
      <c r="S18" s="7"/>
      <c r="T18" s="16">
        <f t="shared" si="0"/>
        <v>0</v>
      </c>
      <c r="U18" s="16">
        <f t="shared" si="1"/>
        <v>0</v>
      </c>
    </row>
    <row r="19" spans="1:21" x14ac:dyDescent="0.25">
      <c r="A19" s="3"/>
      <c r="B19" s="3"/>
      <c r="C19" s="20"/>
      <c r="D19" s="20"/>
      <c r="E19" s="21">
        <f t="shared" si="3"/>
        <v>0</v>
      </c>
      <c r="F19" s="10"/>
      <c r="G19" s="10"/>
      <c r="H19" s="10"/>
      <c r="I19" s="10"/>
      <c r="J19" s="10">
        <f t="shared" si="2"/>
        <v>0</v>
      </c>
      <c r="K19" s="7"/>
      <c r="L19" s="7"/>
      <c r="M19" s="7"/>
      <c r="N19" s="7"/>
      <c r="O19" s="7"/>
      <c r="P19" s="7"/>
      <c r="Q19" s="7"/>
      <c r="R19" s="7"/>
      <c r="S19" s="7"/>
      <c r="T19" s="16">
        <f t="shared" si="0"/>
        <v>0</v>
      </c>
      <c r="U19" s="16">
        <f t="shared" si="1"/>
        <v>0</v>
      </c>
    </row>
    <row r="20" spans="1:21" x14ac:dyDescent="0.25">
      <c r="A20" s="3"/>
      <c r="B20" s="3"/>
      <c r="C20" s="20"/>
      <c r="D20" s="20"/>
      <c r="E20" s="21">
        <f t="shared" si="3"/>
        <v>0</v>
      </c>
      <c r="F20" s="10"/>
      <c r="G20" s="10"/>
      <c r="H20" s="10"/>
      <c r="I20" s="10"/>
      <c r="J20" s="10">
        <f t="shared" si="2"/>
        <v>0</v>
      </c>
      <c r="K20" s="7"/>
      <c r="L20" s="7"/>
      <c r="M20" s="7"/>
      <c r="N20" s="7"/>
      <c r="O20" s="7"/>
      <c r="P20" s="7"/>
      <c r="Q20" s="7"/>
      <c r="R20" s="7"/>
      <c r="S20" s="7"/>
      <c r="T20" s="16">
        <f t="shared" si="0"/>
        <v>0</v>
      </c>
      <c r="U20" s="16">
        <f t="shared" si="1"/>
        <v>0</v>
      </c>
    </row>
    <row r="21" spans="1:21" x14ac:dyDescent="0.25">
      <c r="A21" s="3"/>
      <c r="B21" s="3"/>
      <c r="C21" s="20"/>
      <c r="D21" s="20"/>
      <c r="E21" s="21">
        <f t="shared" si="3"/>
        <v>0</v>
      </c>
      <c r="F21" s="10"/>
      <c r="G21" s="10"/>
      <c r="H21" s="10"/>
      <c r="I21" s="10"/>
      <c r="J21" s="10">
        <f t="shared" si="2"/>
        <v>0</v>
      </c>
      <c r="K21" s="7"/>
      <c r="L21" s="7"/>
      <c r="M21" s="7"/>
      <c r="N21" s="7"/>
      <c r="O21" s="7"/>
      <c r="P21" s="7"/>
      <c r="Q21" s="7"/>
      <c r="R21" s="7"/>
      <c r="S21" s="7"/>
      <c r="T21" s="16">
        <f t="shared" si="0"/>
        <v>0</v>
      </c>
      <c r="U21" s="16">
        <f t="shared" si="1"/>
        <v>0</v>
      </c>
    </row>
    <row r="22" spans="1:21" x14ac:dyDescent="0.25">
      <c r="A22" s="3"/>
      <c r="B22" s="3"/>
      <c r="C22" s="20"/>
      <c r="D22" s="20"/>
      <c r="E22" s="21">
        <f t="shared" si="3"/>
        <v>0</v>
      </c>
      <c r="F22" s="10"/>
      <c r="G22" s="10"/>
      <c r="H22" s="10"/>
      <c r="I22" s="10"/>
      <c r="J22" s="10">
        <f t="shared" si="2"/>
        <v>0</v>
      </c>
      <c r="K22" s="7"/>
      <c r="L22" s="7"/>
      <c r="M22" s="7"/>
      <c r="N22" s="7"/>
      <c r="O22" s="7"/>
      <c r="P22" s="7"/>
      <c r="Q22" s="7"/>
      <c r="R22" s="7"/>
      <c r="S22" s="7"/>
      <c r="T22" s="16">
        <f t="shared" si="0"/>
        <v>0</v>
      </c>
      <c r="U22" s="16">
        <f t="shared" si="1"/>
        <v>0</v>
      </c>
    </row>
    <row r="23" spans="1:21" x14ac:dyDescent="0.25">
      <c r="A23" s="3"/>
      <c r="B23" s="3"/>
      <c r="C23" s="20"/>
      <c r="D23" s="20"/>
      <c r="E23" s="21">
        <f t="shared" si="3"/>
        <v>0</v>
      </c>
      <c r="F23" s="10"/>
      <c r="G23" s="10"/>
      <c r="H23" s="10"/>
      <c r="I23" s="10"/>
      <c r="J23" s="10">
        <f t="shared" si="2"/>
        <v>0</v>
      </c>
      <c r="K23" s="7"/>
      <c r="L23" s="7"/>
      <c r="M23" s="7"/>
      <c r="N23" s="7"/>
      <c r="O23" s="7"/>
      <c r="P23" s="7"/>
      <c r="Q23" s="7"/>
      <c r="R23" s="7"/>
      <c r="S23" s="7"/>
      <c r="T23" s="16">
        <f t="shared" si="0"/>
        <v>0</v>
      </c>
      <c r="U23" s="16">
        <f t="shared" si="1"/>
        <v>0</v>
      </c>
    </row>
    <row r="24" spans="1:21" x14ac:dyDescent="0.25">
      <c r="A24" s="3"/>
      <c r="B24" s="3"/>
      <c r="C24" s="20"/>
      <c r="D24" s="20"/>
      <c r="E24" s="21">
        <f t="shared" si="3"/>
        <v>0</v>
      </c>
      <c r="F24" s="10"/>
      <c r="G24" s="10"/>
      <c r="H24" s="10"/>
      <c r="I24" s="10"/>
      <c r="J24" s="10">
        <f t="shared" si="2"/>
        <v>0</v>
      </c>
      <c r="K24" s="7"/>
      <c r="L24" s="7"/>
      <c r="M24" s="7"/>
      <c r="N24" s="7"/>
      <c r="O24" s="7"/>
      <c r="P24" s="7"/>
      <c r="Q24" s="7"/>
      <c r="R24" s="7"/>
      <c r="S24" s="7"/>
      <c r="T24" s="16">
        <f t="shared" si="0"/>
        <v>0</v>
      </c>
      <c r="U24" s="16">
        <f t="shared" si="1"/>
        <v>0</v>
      </c>
    </row>
    <row r="25" spans="1:21" x14ac:dyDescent="0.25">
      <c r="A25" s="3"/>
      <c r="B25" s="3"/>
      <c r="C25" s="20"/>
      <c r="D25" s="20"/>
      <c r="E25" s="21">
        <f t="shared" si="3"/>
        <v>0</v>
      </c>
      <c r="F25" s="10"/>
      <c r="G25" s="10"/>
      <c r="H25" s="10"/>
      <c r="I25" s="10"/>
      <c r="J25" s="10">
        <f t="shared" si="2"/>
        <v>0</v>
      </c>
      <c r="K25" s="7"/>
      <c r="L25" s="7"/>
      <c r="M25" s="7"/>
      <c r="N25" s="7"/>
      <c r="O25" s="7"/>
      <c r="P25" s="7"/>
      <c r="Q25" s="7"/>
      <c r="R25" s="7"/>
      <c r="S25" s="7"/>
      <c r="T25" s="16">
        <f t="shared" si="0"/>
        <v>0</v>
      </c>
      <c r="U25" s="16">
        <f t="shared" si="1"/>
        <v>0</v>
      </c>
    </row>
    <row r="26" spans="1:21" x14ac:dyDescent="0.25">
      <c r="A26" s="3"/>
      <c r="B26" s="3"/>
      <c r="C26" s="20"/>
      <c r="D26" s="20"/>
      <c r="E26" s="21">
        <f t="shared" si="3"/>
        <v>0</v>
      </c>
      <c r="F26" s="10"/>
      <c r="G26" s="10"/>
      <c r="H26" s="10"/>
      <c r="I26" s="10"/>
      <c r="J26" s="10">
        <f t="shared" si="2"/>
        <v>0</v>
      </c>
      <c r="K26" s="7"/>
      <c r="L26" s="7"/>
      <c r="M26" s="7"/>
      <c r="N26" s="7"/>
      <c r="O26" s="7"/>
      <c r="P26" s="7"/>
      <c r="Q26" s="7"/>
      <c r="R26" s="7"/>
      <c r="S26" s="7"/>
      <c r="T26" s="16">
        <f t="shared" si="0"/>
        <v>0</v>
      </c>
      <c r="U26" s="16">
        <f t="shared" si="1"/>
        <v>0</v>
      </c>
    </row>
    <row r="27" spans="1:21" x14ac:dyDescent="0.25">
      <c r="A27" s="3"/>
      <c r="B27" s="3"/>
      <c r="C27" s="20"/>
      <c r="D27" s="20"/>
      <c r="E27" s="21">
        <f t="shared" si="3"/>
        <v>0</v>
      </c>
      <c r="F27" s="10"/>
      <c r="G27" s="10"/>
      <c r="H27" s="10"/>
      <c r="I27" s="10"/>
      <c r="J27" s="10">
        <f t="shared" si="2"/>
        <v>0</v>
      </c>
      <c r="K27" s="7"/>
      <c r="L27" s="7"/>
      <c r="M27" s="7"/>
      <c r="N27" s="7"/>
      <c r="O27" s="7"/>
      <c r="P27" s="7"/>
      <c r="Q27" s="7"/>
      <c r="R27" s="7"/>
      <c r="S27" s="7"/>
      <c r="T27" s="16">
        <f t="shared" si="0"/>
        <v>0</v>
      </c>
      <c r="U27" s="16">
        <f t="shared" si="1"/>
        <v>0</v>
      </c>
    </row>
    <row r="28" spans="1:21" x14ac:dyDescent="0.25">
      <c r="A28" s="3"/>
      <c r="B28" s="3"/>
      <c r="C28" s="20"/>
      <c r="D28" s="20"/>
      <c r="E28" s="21">
        <f t="shared" si="3"/>
        <v>0</v>
      </c>
      <c r="F28" s="10"/>
      <c r="G28" s="10"/>
      <c r="H28" s="10"/>
      <c r="I28" s="10"/>
      <c r="J28" s="10">
        <f t="shared" si="2"/>
        <v>0</v>
      </c>
      <c r="K28" s="7"/>
      <c r="L28" s="7"/>
      <c r="M28" s="7"/>
      <c r="N28" s="7"/>
      <c r="O28" s="7"/>
      <c r="P28" s="7"/>
      <c r="Q28" s="7"/>
      <c r="R28" s="7"/>
      <c r="S28" s="7"/>
      <c r="T28" s="16">
        <f t="shared" si="0"/>
        <v>0</v>
      </c>
      <c r="U28" s="16">
        <f t="shared" si="1"/>
        <v>0</v>
      </c>
    </row>
    <row r="29" spans="1:21" x14ac:dyDescent="0.25">
      <c r="A29" s="3"/>
      <c r="B29" s="3"/>
      <c r="C29" s="20"/>
      <c r="D29" s="20"/>
      <c r="E29" s="21">
        <f t="shared" si="3"/>
        <v>0</v>
      </c>
      <c r="F29" s="10"/>
      <c r="G29" s="10"/>
      <c r="H29" s="10"/>
      <c r="I29" s="10"/>
      <c r="J29" s="10">
        <f t="shared" si="2"/>
        <v>0</v>
      </c>
      <c r="K29" s="7"/>
      <c r="L29" s="7"/>
      <c r="M29" s="7"/>
      <c r="N29" s="7"/>
      <c r="O29" s="7"/>
      <c r="P29" s="7"/>
      <c r="Q29" s="7"/>
      <c r="R29" s="7"/>
      <c r="S29" s="7"/>
      <c r="T29" s="16">
        <f t="shared" si="0"/>
        <v>0</v>
      </c>
      <c r="U29" s="16">
        <f t="shared" si="1"/>
        <v>0</v>
      </c>
    </row>
    <row r="30" spans="1:21" x14ac:dyDescent="0.25">
      <c r="A30" s="3"/>
      <c r="B30" s="3"/>
      <c r="C30" s="20"/>
      <c r="D30" s="20"/>
      <c r="E30" s="21">
        <f t="shared" si="3"/>
        <v>0</v>
      </c>
      <c r="F30" s="10"/>
      <c r="G30" s="10"/>
      <c r="H30" s="10"/>
      <c r="I30" s="10"/>
      <c r="J30" s="10">
        <f t="shared" si="2"/>
        <v>0</v>
      </c>
      <c r="K30" s="7"/>
      <c r="L30" s="7"/>
      <c r="M30" s="7"/>
      <c r="N30" s="7"/>
      <c r="O30" s="7"/>
      <c r="P30" s="7"/>
      <c r="Q30" s="7"/>
      <c r="R30" s="7"/>
      <c r="S30" s="7"/>
      <c r="T30" s="16">
        <f t="shared" si="0"/>
        <v>0</v>
      </c>
      <c r="U30" s="16">
        <f t="shared" si="1"/>
        <v>0</v>
      </c>
    </row>
    <row r="31" spans="1:21" x14ac:dyDescent="0.25">
      <c r="A31" s="3"/>
      <c r="B31" s="3"/>
      <c r="C31" s="20"/>
      <c r="D31" s="20"/>
      <c r="E31" s="21">
        <f t="shared" si="3"/>
        <v>0</v>
      </c>
      <c r="F31" s="10"/>
      <c r="G31" s="10"/>
      <c r="H31" s="10"/>
      <c r="I31" s="10"/>
      <c r="J31" s="10">
        <f t="shared" si="2"/>
        <v>0</v>
      </c>
      <c r="K31" s="7"/>
      <c r="L31" s="7"/>
      <c r="M31" s="7"/>
      <c r="N31" s="7"/>
      <c r="O31" s="7"/>
      <c r="P31" s="7"/>
      <c r="Q31" s="7"/>
      <c r="R31" s="7"/>
      <c r="S31" s="7"/>
      <c r="T31" s="16">
        <f t="shared" si="0"/>
        <v>0</v>
      </c>
      <c r="U31" s="16">
        <f t="shared" si="1"/>
        <v>0</v>
      </c>
    </row>
    <row r="32" spans="1:21" x14ac:dyDescent="0.25">
      <c r="A32" s="3"/>
      <c r="B32" s="3"/>
      <c r="C32" s="20"/>
      <c r="D32" s="20"/>
      <c r="E32" s="21">
        <f t="shared" si="3"/>
        <v>0</v>
      </c>
      <c r="F32" s="10"/>
      <c r="G32" s="10"/>
      <c r="H32" s="10"/>
      <c r="I32" s="10"/>
      <c r="J32" s="10">
        <f t="shared" si="2"/>
        <v>0</v>
      </c>
      <c r="K32" s="7"/>
      <c r="L32" s="7"/>
      <c r="M32" s="7"/>
      <c r="N32" s="7"/>
      <c r="O32" s="7"/>
      <c r="P32" s="7"/>
      <c r="Q32" s="7"/>
      <c r="R32" s="7"/>
      <c r="S32" s="7"/>
      <c r="T32" s="16">
        <f t="shared" si="0"/>
        <v>0</v>
      </c>
      <c r="U32" s="16">
        <f t="shared" si="1"/>
        <v>0</v>
      </c>
    </row>
    <row r="33" spans="1:21" x14ac:dyDescent="0.25">
      <c r="A33" s="3"/>
      <c r="B33" s="3"/>
      <c r="C33" s="20"/>
      <c r="D33" s="20"/>
      <c r="E33" s="21">
        <f t="shared" si="3"/>
        <v>0</v>
      </c>
      <c r="F33" s="10"/>
      <c r="G33" s="10"/>
      <c r="H33" s="10"/>
      <c r="I33" s="10"/>
      <c r="J33" s="10">
        <f t="shared" si="2"/>
        <v>0</v>
      </c>
      <c r="K33" s="7"/>
      <c r="L33" s="7"/>
      <c r="M33" s="7"/>
      <c r="N33" s="7"/>
      <c r="O33" s="7"/>
      <c r="P33" s="7"/>
      <c r="Q33" s="7"/>
      <c r="R33" s="7"/>
      <c r="S33" s="7"/>
      <c r="T33" s="16">
        <f t="shared" si="0"/>
        <v>0</v>
      </c>
      <c r="U33" s="16">
        <f t="shared" si="1"/>
        <v>0</v>
      </c>
    </row>
    <row r="34" spans="1:21" x14ac:dyDescent="0.25">
      <c r="A34" s="3"/>
      <c r="B34" s="3"/>
      <c r="C34" s="20"/>
      <c r="D34" s="20"/>
      <c r="E34" s="21">
        <f t="shared" si="3"/>
        <v>0</v>
      </c>
      <c r="F34" s="10"/>
      <c r="G34" s="10"/>
      <c r="H34" s="10"/>
      <c r="I34" s="10"/>
      <c r="J34" s="10">
        <f t="shared" si="2"/>
        <v>0</v>
      </c>
      <c r="K34" s="7"/>
      <c r="L34" s="7"/>
      <c r="M34" s="7"/>
      <c r="N34" s="7"/>
      <c r="O34" s="7"/>
      <c r="P34" s="7"/>
      <c r="Q34" s="7"/>
      <c r="R34" s="7"/>
      <c r="S34" s="7"/>
      <c r="T34" s="16">
        <f t="shared" si="0"/>
        <v>0</v>
      </c>
      <c r="U34" s="16">
        <f t="shared" si="1"/>
        <v>0</v>
      </c>
    </row>
    <row r="35" spans="1:21" x14ac:dyDescent="0.25">
      <c r="A35" s="3"/>
      <c r="B35" s="3"/>
      <c r="C35" s="20"/>
      <c r="D35" s="20"/>
      <c r="E35" s="21">
        <f t="shared" si="3"/>
        <v>0</v>
      </c>
      <c r="F35" s="10"/>
      <c r="G35" s="10"/>
      <c r="H35" s="10"/>
      <c r="I35" s="10"/>
      <c r="J35" s="10">
        <f t="shared" si="2"/>
        <v>0</v>
      </c>
      <c r="K35" s="7"/>
      <c r="L35" s="7"/>
      <c r="M35" s="7"/>
      <c r="N35" s="7"/>
      <c r="O35" s="7"/>
      <c r="P35" s="7"/>
      <c r="Q35" s="7"/>
      <c r="R35" s="7"/>
      <c r="S35" s="7"/>
      <c r="T35" s="16">
        <f t="shared" si="0"/>
        <v>0</v>
      </c>
      <c r="U35" s="16">
        <f t="shared" si="1"/>
        <v>0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e96da69-75b6-42f5-a8bb-83d12de244fa" xsi:nil="true"/>
    <lcf76f155ced4ddcb4097134ff3c332f xmlns="8e897d00-9665-4c14-a7e5-9c68e381fa2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5E1C6C21D4D747882FFC1B1DB12F54" ma:contentTypeVersion="14" ma:contentTypeDescription="Create a new document." ma:contentTypeScope="" ma:versionID="ebcd00f67393685aac17b5b10af655cf">
  <xsd:schema xmlns:xsd="http://www.w3.org/2001/XMLSchema" xmlns:xs="http://www.w3.org/2001/XMLSchema" xmlns:p="http://schemas.microsoft.com/office/2006/metadata/properties" xmlns:ns2="8e897d00-9665-4c14-a7e5-9c68e381fa23" xmlns:ns3="2e96da69-75b6-42f5-a8bb-83d12de244fa" targetNamespace="http://schemas.microsoft.com/office/2006/metadata/properties" ma:root="true" ma:fieldsID="31b1d2edaa7608acb6c947427ad84415" ns2:_="" ns3:_="">
    <xsd:import namespace="8e897d00-9665-4c14-a7e5-9c68e381fa23"/>
    <xsd:import namespace="2e96da69-75b6-42f5-a8bb-83d12de244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897d00-9665-4c14-a7e5-9c68e381fa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d4f7018-4042-4e78-aa8c-243777416b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96da69-75b6-42f5-a8bb-83d12de244f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53bbf33-e3c8-4932-a7a5-88341a42870a}" ma:internalName="TaxCatchAll" ma:showField="CatchAllData" ma:web="2e96da69-75b6-42f5-a8bb-83d12de244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F9950D-C3AC-4F85-9FC5-819650617805}">
  <ds:schemaRefs>
    <ds:schemaRef ds:uri="http://schemas.microsoft.com/office/2006/metadata/properties"/>
    <ds:schemaRef ds:uri="http://schemas.microsoft.com/office/infopath/2007/PartnerControls"/>
    <ds:schemaRef ds:uri="2e96da69-75b6-42f5-a8bb-83d12de244fa"/>
    <ds:schemaRef ds:uri="8e897d00-9665-4c14-a7e5-9c68e381fa23"/>
  </ds:schemaRefs>
</ds:datastoreItem>
</file>

<file path=customXml/itemProps2.xml><?xml version="1.0" encoding="utf-8"?>
<ds:datastoreItem xmlns:ds="http://schemas.openxmlformats.org/officeDocument/2006/customXml" ds:itemID="{AB97FB17-DE1C-4FCE-85C5-9EF43F1388E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B4281F0-4E40-4FED-AFBA-1C685258DD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897d00-9665-4c14-a7e5-9c68e381fa23"/>
    <ds:schemaRef ds:uri="2e96da69-75b6-42f5-a8bb-83d12de244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Walgreen CNG Invoice Tracking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Melissa Woo</cp:lastModifiedBy>
  <cp:revision/>
  <dcterms:created xsi:type="dcterms:W3CDTF">2025-10-10T18:45:28Z</dcterms:created>
  <dcterms:modified xsi:type="dcterms:W3CDTF">2026-04-01T16:06:14Z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0x010100885E1C6C21D4D747882FFC1B1DB12F54</vt:lpwstr>
  </property>
  <property fmtid="{D5CDD505-2E9C-101B-9397-08002B2CF9AE}" pid="3" name="MediaServiceImageTags">
    <vt:lpwstr/>
  </property>
</Properties>
</file>